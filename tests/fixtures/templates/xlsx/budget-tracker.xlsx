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6" sheetId="1" state="visible" r:id="rId1"/>
    <sheet xmlns:r="http://schemas.openxmlformats.org/officeDocument/2006/relationships" name="By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;[Red]-£#,##0;&quot;–&quot;"/>
    <numFmt numFmtId="165" formatCode="0.0%;[Red]-0.0%;&quot;–&quot;"/>
    <numFmt numFmtId="166" formatCode="#,##0;[Red]-#,##0;&quot;–&quot;"/>
  </numFmts>
  <fonts count="10">
    <font>
      <name val="Calibri"/>
      <family val="2"/>
      <color theme="1"/>
      <sz val="11"/>
      <scheme val="minor"/>
    </font>
    <font>
      <name val="Arial"/>
      <b val="1"/>
      <color rgb="001F3A5F"/>
      <sz val="20"/>
    </font>
    <font>
      <name val="Arial"/>
      <color rgb="005B6B7B"/>
      <sz val="10"/>
    </font>
    <font>
      <name val="Arial"/>
      <b val="1"/>
      <color rgb="005B6B7B"/>
      <sz val="9"/>
    </font>
    <font>
      <name val="Arial"/>
      <color rgb="005B6B7B"/>
      <sz val="9"/>
    </font>
    <font>
      <name val="Arial"/>
      <b val="1"/>
      <color rgb="00FFFFFF"/>
      <sz val="10"/>
    </font>
    <font>
      <name val="Arial"/>
      <color rgb="005B6B7B"/>
      <sz val="11"/>
    </font>
    <font>
      <name val="Arial"/>
      <color rgb="001B2A3A"/>
      <sz val="11"/>
    </font>
    <font>
      <name val="Arial"/>
      <color rgb="001F4E9E"/>
      <sz val="11"/>
    </font>
    <font>
      <name val="Arial"/>
      <b val="1"/>
      <color rgb="001B2A3A"/>
      <sz val="11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EF3F8"/>
        <bgColor rgb="00EEF3F8"/>
      </patternFill>
    </fill>
  </fills>
  <borders count="3">
    <border>
      <left/>
      <right/>
      <top/>
      <bottom/>
      <diagonal/>
    </border>
    <border>
      <bottom style="thin">
        <color rgb="00C9D2DC"/>
      </bottom>
    </border>
    <border>
      <top style="medium">
        <color rgb="001F3A5F"/>
      </top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164" fontId="1" fillId="3" borderId="0" applyAlignment="1" pivotButton="0" quotePrefix="0" xfId="0">
      <alignment horizontal="left" vertical="center"/>
    </xf>
    <xf numFmtId="165" fontId="1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3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0" fontId="6" fillId="0" borderId="1" pivotButton="0" quotePrefix="0" xfId="0"/>
    <xf numFmtId="0" fontId="7" fillId="0" borderId="1" pivotButton="0" quotePrefix="0" xfId="0"/>
    <xf numFmtId="164" fontId="8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6" fontId="8" fillId="0" borderId="1" pivotButton="0" quotePrefix="0" xfId="0"/>
    <xf numFmtId="0" fontId="9" fillId="3" borderId="2" pivotButton="0" quotePrefix="0" xfId="0"/>
    <xf numFmtId="0" fontId="7" fillId="3" borderId="2" pivotButton="0" quotePrefix="0" xfId="0"/>
    <xf numFmtId="164" fontId="9" fillId="3" borderId="2" pivotButton="0" quotePrefix="0" xfId="0"/>
    <xf numFmtId="165" fontId="9" fillId="3" borderId="2" pivotButton="0" quotePrefix="0" xfId="0"/>
    <xf numFmtId="166" fontId="9" fillId="3" borderId="2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ont>
        <b val="1"/>
        <color rgb="00B42318"/>
      </font>
      <fill>
        <patternFill patternType="solid">
          <fgColor rgb="00FBEAEA"/>
          <bgColor rgb="00FBEA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actual YTD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category'!C5</f>
            </strRef>
          </tx>
          <spPr>
            <a:solidFill xmlns:a="http://schemas.openxmlformats.org/drawingml/2006/main">
              <a:srgbClr val="B8C4D2"/>
            </a:solidFill>
            <a:ln xmlns:a="http://schemas.openxmlformats.org/drawingml/2006/main">
              <a:prstDash val="solid"/>
            </a:ln>
          </spPr>
          <cat>
            <numRef>
              <f>'By category'!$B$6:$B$12</f>
            </numRef>
          </cat>
          <val>
            <numRef>
              <f>'By category'!$C$6:$C$12</f>
            </numRef>
          </val>
        </ser>
        <ser>
          <idx val="1"/>
          <order val="1"/>
          <tx>
            <strRef>
              <f>'By category'!D5</f>
            </strRef>
          </tx>
          <spPr>
            <a:solidFill xmlns:a="http://schemas.openxmlformats.org/drawingml/2006/main">
              <a:srgbClr val="1F3A5F"/>
            </a:solidFill>
            <a:ln xmlns:a="http://schemas.openxmlformats.org/drawingml/2006/main">
              <a:prstDash val="solid"/>
            </a:ln>
          </spPr>
          <cat>
            <numRef>
              <f>'By category'!$B$6:$B$12</f>
            </numRef>
          </cat>
          <val>
            <numRef>
              <f>'By category'!$D$6:$D$12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6</col>
      <colOff>0</colOff>
      <row>4</row>
      <rowOff>0</rowOff>
    </from>
    <to>
      <col>14</col>
      <colOff>0</colOff>
      <row>22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S26"/>
  <sheetViews>
    <sheetView showGridLines="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24" customWidth="1" min="3" max="3"/>
    <col width="15" customWidth="1" min="4" max="4"/>
    <col width="14" customWidth="1" min="5" max="5"/>
    <col width="13" customWidth="1" min="6" max="6"/>
    <col width="10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30" customHeight="1">
      <c r="B2" s="2" t="inlineStr">
        <is>
          <t>Marketing Budget Tracker — 2026</t>
        </is>
      </c>
    </row>
    <row r="3">
      <c r="B3" s="3" t="inlineStr">
        <is>
          <t>Annual budget vs actual spend · £ · update monthly actuals in the blue cells</t>
        </is>
      </c>
    </row>
    <row r="5">
      <c r="B5" s="4" t="inlineStr">
        <is>
          <t>ANNUAL BUDGET</t>
        </is>
      </c>
      <c r="C5" s="4" t="inlineStr">
        <is>
          <t>SPENT YTD</t>
        </is>
      </c>
      <c r="E5" s="4" t="inlineStr">
        <is>
          <t>REMAINING</t>
        </is>
      </c>
      <c r="H5" s="4" t="inlineStr">
        <is>
          <t>% OF BUDGET USED</t>
        </is>
      </c>
    </row>
    <row r="6" ht="32" customHeight="1">
      <c r="B6" s="5">
        <f>D24</f>
        <v/>
      </c>
      <c r="C6" s="5">
        <f>E24</f>
        <v/>
      </c>
      <c r="E6" s="5">
        <f>D24-E24</f>
        <v/>
      </c>
      <c r="H6" s="6">
        <f>IFERROR(E24/D24,0)</f>
        <v/>
      </c>
    </row>
    <row r="7">
      <c r="B7" s="7" t="n"/>
      <c r="C7" s="7" t="n"/>
      <c r="E7" s="7" t="n"/>
      <c r="H7" s="7" t="n"/>
    </row>
    <row r="8">
      <c r="B8" s="8" t="inlineStr">
        <is>
          <t>Approved Dec 2025</t>
        </is>
      </c>
      <c r="C8" s="8" t="inlineStr">
        <is>
          <t>Jan–Sep actuals</t>
        </is>
      </c>
      <c r="E8" s="8" t="inlineStr">
        <is>
          <t>For Oct–Dec</t>
        </is>
      </c>
      <c r="H8" s="8" t="inlineStr">
        <is>
          <t>75% of year elapsed</t>
        </is>
      </c>
    </row>
    <row r="9" ht="22" customHeight="1">
      <c r="B9" s="9" t="inlineStr">
        <is>
          <t>Category</t>
        </is>
      </c>
      <c r="C9" s="9" t="inlineStr">
        <is>
          <t>Line item</t>
        </is>
      </c>
      <c r="D9" s="10" t="inlineStr">
        <is>
          <t>Annual budget</t>
        </is>
      </c>
      <c r="E9" s="10" t="inlineStr">
        <is>
          <t>Actual YTD</t>
        </is>
      </c>
      <c r="F9" s="10" t="inlineStr">
        <is>
          <t>Variance</t>
        </is>
      </c>
      <c r="G9" s="10" t="inlineStr">
        <is>
          <t>Var %</t>
        </is>
      </c>
      <c r="H9" s="10" t="inlineStr">
        <is>
          <t>Jan</t>
        </is>
      </c>
      <c r="I9" s="10" t="inlineStr">
        <is>
          <t>Feb</t>
        </is>
      </c>
      <c r="J9" s="10" t="inlineStr">
        <is>
          <t>Mar</t>
        </is>
      </c>
      <c r="K9" s="10" t="inlineStr">
        <is>
          <t>Apr</t>
        </is>
      </c>
      <c r="L9" s="10" t="inlineStr">
        <is>
          <t>May</t>
        </is>
      </c>
      <c r="M9" s="10" t="inlineStr">
        <is>
          <t>Jun</t>
        </is>
      </c>
      <c r="N9" s="10" t="inlineStr">
        <is>
          <t>Jul</t>
        </is>
      </c>
      <c r="O9" s="10" t="inlineStr">
        <is>
          <t>Aug</t>
        </is>
      </c>
      <c r="P9" s="10" t="inlineStr">
        <is>
          <t>Sep</t>
        </is>
      </c>
      <c r="Q9" s="10" t="inlineStr">
        <is>
          <t>Oct</t>
        </is>
      </c>
      <c r="R9" s="10" t="inlineStr">
        <is>
          <t>Nov</t>
        </is>
      </c>
      <c r="S9" s="10" t="inlineStr">
        <is>
          <t>Dec</t>
        </is>
      </c>
    </row>
    <row r="10">
      <c r="B10" s="11" t="inlineStr">
        <is>
          <t>Paid media</t>
        </is>
      </c>
      <c r="C10" s="12" t="inlineStr">
        <is>
          <t>Search ads</t>
        </is>
      </c>
      <c r="D10" s="13" t="n">
        <v>180000</v>
      </c>
      <c r="E10" s="14">
        <f>SUM(H10:S10)</f>
        <v/>
      </c>
      <c r="F10" s="14">
        <f>D10*COUNT(H10:S10)/12-E10</f>
        <v/>
      </c>
      <c r="G10" s="15">
        <f>IFERROR(F10/(D10*COUNT(H10:S10)/12),0)</f>
        <v/>
      </c>
      <c r="H10" s="16" t="n">
        <v>14200</v>
      </c>
      <c r="I10" s="16" t="n">
        <v>15100</v>
      </c>
      <c r="J10" s="16" t="n">
        <v>15800</v>
      </c>
      <c r="K10" s="16" t="n">
        <v>14900</v>
      </c>
      <c r="L10" s="16" t="n">
        <v>16200</v>
      </c>
      <c r="M10" s="16" t="n">
        <v>15500</v>
      </c>
      <c r="N10" s="16" t="n">
        <v>14800</v>
      </c>
      <c r="O10" s="16" t="n">
        <v>15100</v>
      </c>
      <c r="P10" s="16" t="n">
        <v>16900</v>
      </c>
      <c r="Q10" s="16" t="n"/>
      <c r="R10" s="16" t="n"/>
      <c r="S10" s="16" t="n"/>
    </row>
    <row r="11">
      <c r="B11" s="11" t="inlineStr">
        <is>
          <t>Paid media</t>
        </is>
      </c>
      <c r="C11" s="12" t="inlineStr">
        <is>
          <t>Social ads</t>
        </is>
      </c>
      <c r="D11" s="13" t="n">
        <v>120000</v>
      </c>
      <c r="E11" s="14">
        <f>SUM(H11:S11)</f>
        <v/>
      </c>
      <c r="F11" s="14">
        <f>D11*COUNT(H11:S11)/12-E11</f>
        <v/>
      </c>
      <c r="G11" s="15">
        <f>IFERROR(F11/(D11*COUNT(H11:S11)/12),0)</f>
        <v/>
      </c>
      <c r="H11" s="16" t="n">
        <v>9800</v>
      </c>
      <c r="I11" s="16" t="n">
        <v>10400</v>
      </c>
      <c r="J11" s="16" t="n">
        <v>11200</v>
      </c>
      <c r="K11" s="16" t="n">
        <v>10900</v>
      </c>
      <c r="L11" s="16" t="n">
        <v>11800</v>
      </c>
      <c r="M11" s="16" t="n">
        <v>12100</v>
      </c>
      <c r="N11" s="16" t="n">
        <v>12600</v>
      </c>
      <c r="O11" s="16" t="n">
        <v>11900</v>
      </c>
      <c r="P11" s="16" t="n">
        <v>12800</v>
      </c>
      <c r="Q11" s="16" t="n"/>
      <c r="R11" s="16" t="n"/>
      <c r="S11" s="16" t="n"/>
    </row>
    <row r="12">
      <c r="B12" s="11" t="inlineStr">
        <is>
          <t>Paid media</t>
        </is>
      </c>
      <c r="C12" s="12" t="inlineStr">
        <is>
          <t>Retail media</t>
        </is>
      </c>
      <c r="D12" s="13" t="n">
        <v>60000</v>
      </c>
      <c r="E12" s="14">
        <f>SUM(H12:S12)</f>
        <v/>
      </c>
      <c r="F12" s="14">
        <f>D12*COUNT(H12:S12)/12-E12</f>
        <v/>
      </c>
      <c r="G12" s="15">
        <f>IFERROR(F12/(D12*COUNT(H12:S12)/12),0)</f>
        <v/>
      </c>
      <c r="H12" s="16" t="n">
        <v>0</v>
      </c>
      <c r="I12" s="16" t="n">
        <v>0</v>
      </c>
      <c r="J12" s="16" t="n">
        <v>4500</v>
      </c>
      <c r="K12" s="16" t="n">
        <v>5200</v>
      </c>
      <c r="L12" s="16" t="n">
        <v>5100</v>
      </c>
      <c r="M12" s="16" t="n">
        <v>5600</v>
      </c>
      <c r="N12" s="16" t="n">
        <v>5800</v>
      </c>
      <c r="O12" s="16" t="n">
        <v>6100</v>
      </c>
      <c r="P12" s="16" t="n">
        <v>6400</v>
      </c>
      <c r="Q12" s="16" t="n"/>
      <c r="R12" s="16" t="n"/>
      <c r="S12" s="16" t="n"/>
    </row>
    <row r="13">
      <c r="B13" s="11" t="inlineStr">
        <is>
          <t>Events</t>
        </is>
      </c>
      <c r="C13" s="12" t="inlineStr">
        <is>
          <t>Flagship conference</t>
        </is>
      </c>
      <c r="D13" s="13" t="n">
        <v>95000</v>
      </c>
      <c r="E13" s="14">
        <f>SUM(H13:S13)</f>
        <v/>
      </c>
      <c r="F13" s="14">
        <f>D13*COUNT(H13:S13)/12-E13</f>
        <v/>
      </c>
      <c r="G13" s="15">
        <f>IFERROR(F13/(D13*COUNT(H13:S13)/12),0)</f>
        <v/>
      </c>
      <c r="H13" s="16" t="n">
        <v>0</v>
      </c>
      <c r="I13" s="16" t="n">
        <v>0</v>
      </c>
      <c r="J13" s="16" t="n">
        <v>0</v>
      </c>
      <c r="K13" s="16" t="n">
        <v>12000</v>
      </c>
      <c r="L13" s="16" t="n">
        <v>0</v>
      </c>
      <c r="M13" s="16" t="n">
        <v>61000</v>
      </c>
      <c r="N13" s="16" t="n">
        <v>0</v>
      </c>
      <c r="O13" s="16" t="n">
        <v>0</v>
      </c>
      <c r="P13" s="16" t="n">
        <v>4200</v>
      </c>
      <c r="Q13" s="16" t="n"/>
      <c r="R13" s="16" t="n"/>
      <c r="S13" s="16" t="n"/>
    </row>
    <row r="14">
      <c r="B14" s="11" t="inlineStr">
        <is>
          <t>Events</t>
        </is>
      </c>
      <c r="C14" s="12" t="inlineStr">
        <is>
          <t>Regional roadshows</t>
        </is>
      </c>
      <c r="D14" s="13" t="n">
        <v>40000</v>
      </c>
      <c r="E14" s="14">
        <f>SUM(H14:S14)</f>
        <v/>
      </c>
      <c r="F14" s="14">
        <f>D14*COUNT(H14:S14)/12-E14</f>
        <v/>
      </c>
      <c r="G14" s="15">
        <f>IFERROR(F14/(D14*COUNT(H14:S14)/12),0)</f>
        <v/>
      </c>
      <c r="H14" s="16" t="n">
        <v>0</v>
      </c>
      <c r="I14" s="16" t="n">
        <v>3200</v>
      </c>
      <c r="J14" s="16" t="n">
        <v>4100</v>
      </c>
      <c r="K14" s="16" t="n">
        <v>0</v>
      </c>
      <c r="L14" s="16" t="n">
        <v>3900</v>
      </c>
      <c r="M14" s="16" t="n">
        <v>0</v>
      </c>
      <c r="N14" s="16" t="n">
        <v>0</v>
      </c>
      <c r="O14" s="16" t="n">
        <v>3600</v>
      </c>
      <c r="P14" s="16" t="n">
        <v>4300</v>
      </c>
      <c r="Q14" s="16" t="n"/>
      <c r="R14" s="16" t="n"/>
      <c r="S14" s="16" t="n"/>
    </row>
    <row r="15">
      <c r="B15" s="11" t="inlineStr">
        <is>
          <t>Content</t>
        </is>
      </c>
      <c r="C15" s="12" t="inlineStr">
        <is>
          <t>Agency retainer</t>
        </is>
      </c>
      <c r="D15" s="13" t="n">
        <v>72000</v>
      </c>
      <c r="E15" s="14">
        <f>SUM(H15:S15)</f>
        <v/>
      </c>
      <c r="F15" s="14">
        <f>D15*COUNT(H15:S15)/12-E15</f>
        <v/>
      </c>
      <c r="G15" s="15">
        <f>IFERROR(F15/(D15*COUNT(H15:S15)/12),0)</f>
        <v/>
      </c>
      <c r="H15" s="16" t="n">
        <v>6000</v>
      </c>
      <c r="I15" s="16" t="n">
        <v>6000</v>
      </c>
      <c r="J15" s="16" t="n">
        <v>6000</v>
      </c>
      <c r="K15" s="16" t="n">
        <v>6000</v>
      </c>
      <c r="L15" s="16" t="n">
        <v>6000</v>
      </c>
      <c r="M15" s="16" t="n">
        <v>6000</v>
      </c>
      <c r="N15" s="16" t="n">
        <v>6000</v>
      </c>
      <c r="O15" s="16" t="n">
        <v>6000</v>
      </c>
      <c r="P15" s="16" t="n">
        <v>6000</v>
      </c>
      <c r="Q15" s="16" t="n"/>
      <c r="R15" s="16" t="n"/>
      <c r="S15" s="16" t="n"/>
    </row>
    <row r="16">
      <c r="B16" s="11" t="inlineStr">
        <is>
          <t>Content</t>
        </is>
      </c>
      <c r="C16" s="12" t="inlineStr">
        <is>
          <t>Video production</t>
        </is>
      </c>
      <c r="D16" s="13" t="n">
        <v>36000</v>
      </c>
      <c r="E16" s="14">
        <f>SUM(H16:S16)</f>
        <v/>
      </c>
      <c r="F16" s="14">
        <f>D16*COUNT(H16:S16)/12-E16</f>
        <v/>
      </c>
      <c r="G16" s="15">
        <f>IFERROR(F16/(D16*COUNT(H16:S16)/12),0)</f>
        <v/>
      </c>
      <c r="H16" s="16" t="n">
        <v>0</v>
      </c>
      <c r="I16" s="16" t="n">
        <v>4800</v>
      </c>
      <c r="J16" s="16" t="n">
        <v>0</v>
      </c>
      <c r="K16" s="16" t="n">
        <v>0</v>
      </c>
      <c r="L16" s="16" t="n">
        <v>6200</v>
      </c>
      <c r="M16" s="16" t="n">
        <v>0</v>
      </c>
      <c r="N16" s="16" t="n">
        <v>0</v>
      </c>
      <c r="O16" s="16" t="n">
        <v>5100</v>
      </c>
      <c r="P16" s="16" t="n">
        <v>0</v>
      </c>
      <c r="Q16" s="16" t="n"/>
      <c r="R16" s="16" t="n"/>
      <c r="S16" s="16" t="n"/>
    </row>
    <row r="17">
      <c r="B17" s="11" t="inlineStr">
        <is>
          <t>Brand</t>
        </is>
      </c>
      <c r="C17" s="12" t="inlineStr">
        <is>
          <t>Research &amp; testing</t>
        </is>
      </c>
      <c r="D17" s="13" t="n">
        <v>30000</v>
      </c>
      <c r="E17" s="14">
        <f>SUM(H17:S17)</f>
        <v/>
      </c>
      <c r="F17" s="14">
        <f>D17*COUNT(H17:S17)/12-E17</f>
        <v/>
      </c>
      <c r="G17" s="15">
        <f>IFERROR(F17/(D17*COUNT(H17:S17)/12),0)</f>
        <v/>
      </c>
      <c r="H17" s="16" t="n">
        <v>0</v>
      </c>
      <c r="I17" s="16" t="n">
        <v>0</v>
      </c>
      <c r="J17" s="16" t="n">
        <v>7500</v>
      </c>
      <c r="K17" s="16" t="n">
        <v>0</v>
      </c>
      <c r="L17" s="16" t="n">
        <v>0</v>
      </c>
      <c r="M17" s="16" t="n">
        <v>7500</v>
      </c>
      <c r="N17" s="16" t="n">
        <v>0</v>
      </c>
      <c r="O17" s="16" t="n">
        <v>0</v>
      </c>
      <c r="P17" s="16" t="n">
        <v>7500</v>
      </c>
      <c r="Q17" s="16" t="n"/>
      <c r="R17" s="16" t="n"/>
      <c r="S17" s="16" t="n"/>
    </row>
    <row r="18">
      <c r="B18" s="11" t="inlineStr">
        <is>
          <t>Brand</t>
        </is>
      </c>
      <c r="C18" s="12" t="inlineStr">
        <is>
          <t>Design tooling</t>
        </is>
      </c>
      <c r="D18" s="13" t="n">
        <v>12000</v>
      </c>
      <c r="E18" s="14">
        <f>SUM(H18:S18)</f>
        <v/>
      </c>
      <c r="F18" s="14">
        <f>D18*COUNT(H18:S18)/12-E18</f>
        <v/>
      </c>
      <c r="G18" s="15">
        <f>IFERROR(F18/(D18*COUNT(H18:S18)/12),0)</f>
        <v/>
      </c>
      <c r="H18" s="16" t="n">
        <v>1000</v>
      </c>
      <c r="I18" s="16" t="n">
        <v>1000</v>
      </c>
      <c r="J18" s="16" t="n">
        <v>1000</v>
      </c>
      <c r="K18" s="16" t="n">
        <v>1000</v>
      </c>
      <c r="L18" s="16" t="n">
        <v>1000</v>
      </c>
      <c r="M18" s="16" t="n">
        <v>1000</v>
      </c>
      <c r="N18" s="16" t="n">
        <v>1000</v>
      </c>
      <c r="O18" s="16" t="n">
        <v>1000</v>
      </c>
      <c r="P18" s="16" t="n">
        <v>1000</v>
      </c>
      <c r="Q18" s="16" t="n"/>
      <c r="R18" s="16" t="n"/>
      <c r="S18" s="16" t="n"/>
    </row>
    <row r="19">
      <c r="B19" s="11" t="inlineStr">
        <is>
          <t>Tools</t>
        </is>
      </c>
      <c r="C19" s="12" t="inlineStr">
        <is>
          <t>Marketing automation</t>
        </is>
      </c>
      <c r="D19" s="13" t="n">
        <v>54000</v>
      </c>
      <c r="E19" s="14">
        <f>SUM(H19:S19)</f>
        <v/>
      </c>
      <c r="F19" s="14">
        <f>D19*COUNT(H19:S19)/12-E19</f>
        <v/>
      </c>
      <c r="G19" s="15">
        <f>IFERROR(F19/(D19*COUNT(H19:S19)/12),0)</f>
        <v/>
      </c>
      <c r="H19" s="16" t="n">
        <v>4500</v>
      </c>
      <c r="I19" s="16" t="n">
        <v>4500</v>
      </c>
      <c r="J19" s="16" t="n">
        <v>4500</v>
      </c>
      <c r="K19" s="16" t="n">
        <v>4500</v>
      </c>
      <c r="L19" s="16" t="n">
        <v>4500</v>
      </c>
      <c r="M19" s="16" t="n">
        <v>4500</v>
      </c>
      <c r="N19" s="16" t="n">
        <v>4500</v>
      </c>
      <c r="O19" s="16" t="n">
        <v>4500</v>
      </c>
      <c r="P19" s="16" t="n">
        <v>4500</v>
      </c>
      <c r="Q19" s="16" t="n"/>
      <c r="R19" s="16" t="n"/>
      <c r="S19" s="16" t="n"/>
    </row>
    <row r="20">
      <c r="B20" s="11" t="inlineStr">
        <is>
          <t>Tools</t>
        </is>
      </c>
      <c r="C20" s="12" t="inlineStr">
        <is>
          <t>Analytics &amp; attribution</t>
        </is>
      </c>
      <c r="D20" s="13" t="n">
        <v>24000</v>
      </c>
      <c r="E20" s="14">
        <f>SUM(H20:S20)</f>
        <v/>
      </c>
      <c r="F20" s="14">
        <f>D20*COUNT(H20:S20)/12-E20</f>
        <v/>
      </c>
      <c r="G20" s="15">
        <f>IFERROR(F20/(D20*COUNT(H20:S20)/12),0)</f>
        <v/>
      </c>
      <c r="H20" s="16" t="n">
        <v>2000</v>
      </c>
      <c r="I20" s="16" t="n">
        <v>2000</v>
      </c>
      <c r="J20" s="16" t="n">
        <v>2000</v>
      </c>
      <c r="K20" s="16" t="n">
        <v>2000</v>
      </c>
      <c r="L20" s="16" t="n">
        <v>2000</v>
      </c>
      <c r="M20" s="16" t="n">
        <v>2000</v>
      </c>
      <c r="N20" s="16" t="n">
        <v>2000</v>
      </c>
      <c r="O20" s="16" t="n">
        <v>2000</v>
      </c>
      <c r="P20" s="16" t="n">
        <v>2000</v>
      </c>
      <c r="Q20" s="16" t="n"/>
      <c r="R20" s="16" t="n"/>
      <c r="S20" s="16" t="n"/>
    </row>
    <row r="21">
      <c r="B21" s="11" t="inlineStr">
        <is>
          <t>People</t>
        </is>
      </c>
      <c r="C21" s="12" t="inlineStr">
        <is>
          <t>Contractors</t>
        </is>
      </c>
      <c r="D21" s="13" t="n">
        <v>48000</v>
      </c>
      <c r="E21" s="14">
        <f>SUM(H21:S21)</f>
        <v/>
      </c>
      <c r="F21" s="14">
        <f>D21*COUNT(H21:S21)/12-E21</f>
        <v/>
      </c>
      <c r="G21" s="15">
        <f>IFERROR(F21/(D21*COUNT(H21:S21)/12),0)</f>
        <v/>
      </c>
      <c r="H21" s="16" t="n">
        <v>3500</v>
      </c>
      <c r="I21" s="16" t="n">
        <v>4200</v>
      </c>
      <c r="J21" s="16" t="n">
        <v>3900</v>
      </c>
      <c r="K21" s="16" t="n">
        <v>4100</v>
      </c>
      <c r="L21" s="16" t="n">
        <v>4600</v>
      </c>
      <c r="M21" s="16" t="n">
        <v>3800</v>
      </c>
      <c r="N21" s="16" t="n">
        <v>3900</v>
      </c>
      <c r="O21" s="16" t="n">
        <v>4400</v>
      </c>
      <c r="P21" s="16" t="n">
        <v>4700</v>
      </c>
      <c r="Q21" s="16" t="n"/>
      <c r="R21" s="16" t="n"/>
      <c r="S21" s="16" t="n"/>
    </row>
    <row r="22">
      <c r="B22" s="11" t="inlineStr">
        <is>
          <t>People</t>
        </is>
      </c>
      <c r="C22" s="12" t="inlineStr">
        <is>
          <t>Training</t>
        </is>
      </c>
      <c r="D22" s="13" t="n">
        <v>9000</v>
      </c>
      <c r="E22" s="14">
        <f>SUM(H22:S22)</f>
        <v/>
      </c>
      <c r="F22" s="14">
        <f>D22*COUNT(H22:S22)/12-E22</f>
        <v/>
      </c>
      <c r="G22" s="15">
        <f>IFERROR(F22/(D22*COUNT(H22:S22)/12),0)</f>
        <v/>
      </c>
      <c r="H22" s="16" t="n">
        <v>0</v>
      </c>
      <c r="I22" s="16" t="n">
        <v>0</v>
      </c>
      <c r="J22" s="16" t="n">
        <v>1200</v>
      </c>
      <c r="K22" s="16" t="n">
        <v>0</v>
      </c>
      <c r="L22" s="16" t="n">
        <v>0</v>
      </c>
      <c r="M22" s="16" t="n">
        <v>2400</v>
      </c>
      <c r="N22" s="16" t="n">
        <v>0</v>
      </c>
      <c r="O22" s="16" t="n">
        <v>0</v>
      </c>
      <c r="P22" s="16" t="n">
        <v>900</v>
      </c>
      <c r="Q22" s="16" t="n"/>
      <c r="R22" s="16" t="n"/>
      <c r="S22" s="16" t="n"/>
    </row>
    <row r="23">
      <c r="B23" s="11" t="inlineStr">
        <is>
          <t>Contingency</t>
        </is>
      </c>
      <c r="C23" s="12" t="inlineStr">
        <is>
          <t>Unallocated</t>
        </is>
      </c>
      <c r="D23" s="13" t="n">
        <v>20000</v>
      </c>
      <c r="E23" s="14">
        <f>SUM(H23:S23)</f>
        <v/>
      </c>
      <c r="F23" s="14">
        <f>D23*COUNT(H23:S23)/12-E23</f>
        <v/>
      </c>
      <c r="G23" s="15">
        <f>IFERROR(F23/(D23*COUNT(H23:S23)/12),0)</f>
        <v/>
      </c>
      <c r="H23" s="16" t="n">
        <v>0</v>
      </c>
      <c r="I23" s="16" t="n">
        <v>0</v>
      </c>
      <c r="J23" s="16" t="n">
        <v>0</v>
      </c>
      <c r="K23" s="16" t="n">
        <v>0</v>
      </c>
      <c r="L23" s="16" t="n">
        <v>0</v>
      </c>
      <c r="M23" s="16" t="n">
        <v>0</v>
      </c>
      <c r="N23" s="16" t="n">
        <v>0</v>
      </c>
      <c r="O23" s="16" t="n">
        <v>0</v>
      </c>
      <c r="P23" s="16" t="n">
        <v>0</v>
      </c>
      <c r="Q23" s="16" t="n"/>
      <c r="R23" s="16" t="n"/>
      <c r="S23" s="16" t="n"/>
    </row>
    <row r="24">
      <c r="B24" s="17" t="inlineStr">
        <is>
          <t>Total</t>
        </is>
      </c>
      <c r="C24" s="18" t="n"/>
      <c r="D24" s="19">
        <f>SUM(D10:D23)</f>
        <v/>
      </c>
      <c r="E24" s="19">
        <f>SUM(E10:E23)</f>
        <v/>
      </c>
      <c r="F24" s="19">
        <f>SUM(F10:F23)</f>
        <v/>
      </c>
      <c r="G24" s="20">
        <f>IFERROR(F24/(D24*COUNT(H10:S10)/12),0)</f>
        <v/>
      </c>
      <c r="H24" s="21">
        <f>SUM(H10:H23)</f>
        <v/>
      </c>
      <c r="I24" s="21">
        <f>SUM(I10:I23)</f>
        <v/>
      </c>
      <c r="J24" s="21">
        <f>SUM(J10:J23)</f>
        <v/>
      </c>
      <c r="K24" s="21">
        <f>SUM(K10:K23)</f>
        <v/>
      </c>
      <c r="L24" s="21">
        <f>SUM(L10:L23)</f>
        <v/>
      </c>
      <c r="M24" s="21">
        <f>SUM(M10:M23)</f>
        <v/>
      </c>
      <c r="N24" s="21">
        <f>SUM(N10:N23)</f>
        <v/>
      </c>
      <c r="O24" s="21">
        <f>SUM(O10:O23)</f>
        <v/>
      </c>
      <c r="P24" s="21">
        <f>SUM(P10:P23)</f>
        <v/>
      </c>
      <c r="Q24" s="21">
        <f>SUM(Q10:Q23)</f>
        <v/>
      </c>
      <c r="R24" s="21">
        <f>SUM(R10:R23)</f>
        <v/>
      </c>
      <c r="S24" s="21">
        <f>SUM(S10:S23)</f>
        <v/>
      </c>
    </row>
    <row r="26">
      <c r="B26" s="22" t="inlineStr">
        <is>
          <t>Variance = budget pro-rated to months reported − actual. Negative = overspend; rows more than 10% over are flagged red.</t>
        </is>
      </c>
    </row>
  </sheetData>
  <mergeCells count="18">
    <mergeCell ref="B8"/>
    <mergeCell ref="C8"/>
    <mergeCell ref="E6:F6"/>
    <mergeCell ref="B3:S3"/>
    <mergeCell ref="B2:S2"/>
    <mergeCell ref="E7:F7"/>
    <mergeCell ref="H5:J5"/>
    <mergeCell ref="C7"/>
    <mergeCell ref="B7"/>
    <mergeCell ref="E8:F8"/>
    <mergeCell ref="B6"/>
    <mergeCell ref="E5:F5"/>
    <mergeCell ref="H8:J8"/>
    <mergeCell ref="C6"/>
    <mergeCell ref="B5"/>
    <mergeCell ref="C5"/>
    <mergeCell ref="H7:J7"/>
    <mergeCell ref="H6:J6"/>
  </mergeCells>
  <conditionalFormatting sqref="G10:G23">
    <cfRule type="cellIs" priority="1" operator="lessThan" dxfId="0">
      <formula>-0.1</formula>
    </cfRule>
  </conditionalFormatting>
  <conditionalFormatting sqref="E10:E23">
    <cfRule type="dataBar" priority="2">
      <dataBar>
        <cfvo type="num" val="0"/>
        <cfvo type="max"/>
        <color rgb="007FB7BC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7C86"/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15" customWidth="1" min="4" max="4"/>
    <col width="15" customWidth="1" min="5" max="5"/>
  </cols>
  <sheetData>
    <row r="1" ht="8" customHeight="1">
      <c r="A1" s="1" t="n"/>
      <c r="B1" s="1" t="n"/>
      <c r="C1" s="1" t="n"/>
      <c r="D1" s="1" t="n"/>
      <c r="E1" s="1" t="n"/>
    </row>
    <row r="2" ht="30" customHeight="1">
      <c r="B2" s="2" t="inlineStr">
        <is>
          <t>Spend by category</t>
        </is>
      </c>
    </row>
    <row r="3">
      <c r="B3" s="3" t="inlineStr">
        <is>
          <t>Rolls up from Budget 2026</t>
        </is>
      </c>
    </row>
    <row r="5" ht="22" customHeight="1">
      <c r="B5" s="9" t="inlineStr">
        <is>
          <t>Category</t>
        </is>
      </c>
      <c r="C5" s="10" t="inlineStr">
        <is>
          <t>Budget</t>
        </is>
      </c>
      <c r="D5" s="10" t="inlineStr">
        <is>
          <t>Actual YTD</t>
        </is>
      </c>
      <c r="E5" s="10" t="inlineStr">
        <is>
          <t>Remaining</t>
        </is>
      </c>
    </row>
    <row r="6">
      <c r="B6" s="12" t="inlineStr">
        <is>
          <t>Paid media</t>
        </is>
      </c>
      <c r="C6" s="14">
        <f>SUMIF('Budget 2026'!$B$10:$B$23,B6,'Budget 2026'!$D$10:$D$23)</f>
        <v/>
      </c>
      <c r="D6" s="14">
        <f>SUMIF('Budget 2026'!$B$10:$B$23,B6,'Budget 2026'!$E$10:$E$23)</f>
        <v/>
      </c>
      <c r="E6" s="14">
        <f>C6-D6</f>
        <v/>
      </c>
    </row>
    <row r="7">
      <c r="B7" s="12" t="inlineStr">
        <is>
          <t>Events</t>
        </is>
      </c>
      <c r="C7" s="14">
        <f>SUMIF('Budget 2026'!$B$10:$B$23,B7,'Budget 2026'!$D$10:$D$23)</f>
        <v/>
      </c>
      <c r="D7" s="14">
        <f>SUMIF('Budget 2026'!$B$10:$B$23,B7,'Budget 2026'!$E$10:$E$23)</f>
        <v/>
      </c>
      <c r="E7" s="14">
        <f>C7-D7</f>
        <v/>
      </c>
    </row>
    <row r="8">
      <c r="B8" s="12" t="inlineStr">
        <is>
          <t>Content</t>
        </is>
      </c>
      <c r="C8" s="14">
        <f>SUMIF('Budget 2026'!$B$10:$B$23,B8,'Budget 2026'!$D$10:$D$23)</f>
        <v/>
      </c>
      <c r="D8" s="14">
        <f>SUMIF('Budget 2026'!$B$10:$B$23,B8,'Budget 2026'!$E$10:$E$23)</f>
        <v/>
      </c>
      <c r="E8" s="14">
        <f>C8-D8</f>
        <v/>
      </c>
    </row>
    <row r="9">
      <c r="B9" s="12" t="inlineStr">
        <is>
          <t>Brand</t>
        </is>
      </c>
      <c r="C9" s="14">
        <f>SUMIF('Budget 2026'!$B$10:$B$23,B9,'Budget 2026'!$D$10:$D$23)</f>
        <v/>
      </c>
      <c r="D9" s="14">
        <f>SUMIF('Budget 2026'!$B$10:$B$23,B9,'Budget 2026'!$E$10:$E$23)</f>
        <v/>
      </c>
      <c r="E9" s="14">
        <f>C9-D9</f>
        <v/>
      </c>
    </row>
    <row r="10">
      <c r="B10" s="12" t="inlineStr">
        <is>
          <t>Tools</t>
        </is>
      </c>
      <c r="C10" s="14">
        <f>SUMIF('Budget 2026'!$B$10:$B$23,B10,'Budget 2026'!$D$10:$D$23)</f>
        <v/>
      </c>
      <c r="D10" s="14">
        <f>SUMIF('Budget 2026'!$B$10:$B$23,B10,'Budget 2026'!$E$10:$E$23)</f>
        <v/>
      </c>
      <c r="E10" s="14">
        <f>C10-D10</f>
        <v/>
      </c>
    </row>
    <row r="11">
      <c r="B11" s="12" t="inlineStr">
        <is>
          <t>People</t>
        </is>
      </c>
      <c r="C11" s="14">
        <f>SUMIF('Budget 2026'!$B$10:$B$23,B11,'Budget 2026'!$D$10:$D$23)</f>
        <v/>
      </c>
      <c r="D11" s="14">
        <f>SUMIF('Budget 2026'!$B$10:$B$23,B11,'Budget 2026'!$E$10:$E$23)</f>
        <v/>
      </c>
      <c r="E11" s="14">
        <f>C11-D11</f>
        <v/>
      </c>
    </row>
    <row r="12">
      <c r="B12" s="12" t="inlineStr">
        <is>
          <t>Contingency</t>
        </is>
      </c>
      <c r="C12" s="14">
        <f>SUMIF('Budget 2026'!$B$10:$B$23,B12,'Budget 2026'!$D$10:$D$23)</f>
        <v/>
      </c>
      <c r="D12" s="14">
        <f>SUMIF('Budget 2026'!$B$10:$B$23,B12,'Budget 2026'!$E$10:$E$23)</f>
        <v/>
      </c>
      <c r="E12" s="14">
        <f>C12-D12</f>
        <v/>
      </c>
    </row>
  </sheetData>
  <mergeCells count="2">
    <mergeCell ref="B3:E3"/>
    <mergeCell ref="B2:E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Northwind Analytics</dc:creator>
  <dcterms:created xmlns:dcterms="http://purl.org/dc/terms/" xmlns:xsi="http://www.w3.org/2001/XMLSchema-instance" xsi:type="dcterms:W3CDTF">2026-10-09T12:17:01Z</dcterms:created>
  <dcterms:modified xmlns:dcterms="http://purl.org/dc/terms/" xmlns:xsi="http://www.w3.org/2001/XMLSchema-instance" xsi:type="dcterms:W3CDTF">2026-10-09T12:17:01Z</dcterms:modified>
</cp:coreProperties>
</file>