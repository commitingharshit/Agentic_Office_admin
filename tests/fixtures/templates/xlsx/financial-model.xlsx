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[Red]-0.0%;&quot;–&quot;"/>
    <numFmt numFmtId="165" formatCode="£#,##0;[Red]-£#,##0;&quot;–&quot;"/>
    <numFmt numFmtId="166" formatCode="0.000"/>
    <numFmt numFmtId="167" formatCode="0.0&quot;×&quot;"/>
  </numFmts>
  <fonts count="12">
    <font>
      <name val="Calibri"/>
      <family val="2"/>
      <color theme="1"/>
      <sz val="11"/>
      <scheme val="minor"/>
    </font>
    <font>
      <name val="Arial"/>
      <b val="1"/>
      <color rgb="001F3A5F"/>
      <sz val="20"/>
    </font>
    <font>
      <name val="Arial"/>
      <color rgb="005B6B7B"/>
      <sz val="10"/>
    </font>
    <font>
      <name val="Arial"/>
      <b val="1"/>
      <color rgb="005B6B7B"/>
      <sz val="10"/>
    </font>
    <font>
      <name val="Arial"/>
      <color rgb="001B2A3A"/>
      <sz val="11"/>
    </font>
    <font>
      <name val="Arial"/>
      <color rgb="001F4E9E"/>
      <sz val="11"/>
    </font>
    <font>
      <name val="Arial"/>
      <b val="1"/>
      <color rgb="00FFFFFF"/>
      <sz val="10"/>
    </font>
    <font>
      <name val="Arial"/>
      <color rgb="005B6B7B"/>
      <sz val="9"/>
    </font>
    <font>
      <name val="Arial"/>
      <b val="1"/>
      <color rgb="001B2A3A"/>
      <sz val="11"/>
    </font>
    <font>
      <name val="Arial"/>
      <b val="1"/>
      <color rgb="000E7C86"/>
      <sz val="11"/>
    </font>
    <font>
      <name val="Arial"/>
      <color rgb="005B6B7B"/>
      <sz val="11"/>
    </font>
    <font>
      <name val="Arial"/>
      <b val="1"/>
      <color rgb="001E7B4F"/>
      <sz val="11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7E0"/>
        <bgColor rgb="00FFF7E0"/>
      </patternFill>
    </fill>
    <fill>
      <patternFill patternType="solid">
        <fgColor rgb="00EEF3F8"/>
        <bgColor rgb="00EEF3F8"/>
      </patternFill>
    </fill>
    <fill>
      <patternFill patternType="solid">
        <fgColor rgb="00E6F2F3"/>
        <bgColor rgb="00E6F2F3"/>
      </patternFill>
    </fill>
  </fills>
  <borders count="3">
    <border>
      <left/>
      <right/>
      <top/>
      <bottom/>
      <diagonal/>
    </border>
    <border>
      <bottom style="thin">
        <color rgb="00C9D2DC"/>
      </bottom>
    </border>
    <border>
      <top style="medium">
        <color rgb="001F3A5F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5" fillId="3" borderId="1" pivotButton="0" quotePrefix="0" xfId="0"/>
    <xf numFmtId="0" fontId="7" fillId="0" borderId="1" pivotButton="0" quotePrefix="0" xfId="0"/>
    <xf numFmtId="0" fontId="8" fillId="0" borderId="1" pivotButton="0" quotePrefix="0" xfId="0"/>
    <xf numFmtId="165" fontId="5" fillId="3" borderId="1" pivotButton="0" quotePrefix="0" xfId="0"/>
    <xf numFmtId="0" fontId="8" fillId="0" borderId="0" pivotButton="0" quotePrefix="0" xfId="0"/>
    <xf numFmtId="165" fontId="8" fillId="0" borderId="0" pivotButton="0" quotePrefix="0" xfId="0"/>
    <xf numFmtId="165" fontId="4" fillId="0" borderId="1" pivotButton="0" quotePrefix="0" xfId="0"/>
    <xf numFmtId="0" fontId="8" fillId="0" borderId="2" pivotButton="0" quotePrefix="0" xfId="0"/>
    <xf numFmtId="165" fontId="8" fillId="0" borderId="2" pivotButton="0" quotePrefix="0" xfId="0"/>
    <xf numFmtId="165" fontId="8" fillId="4" borderId="2" pivotButton="0" quotePrefix="0" xfId="0"/>
    <xf numFmtId="0" fontId="9" fillId="0" borderId="0" pivotButton="0" quotePrefix="0" xfId="0"/>
    <xf numFmtId="0" fontId="10" fillId="0" borderId="1" pivotButton="0" quotePrefix="0" xfId="0"/>
    <xf numFmtId="164" fontId="10" fillId="0" borderId="1" pivotButton="0" quotePrefix="0" xfId="0"/>
    <xf numFmtId="1" fontId="4" fillId="0" borderId="1" pivotButton="0" quotePrefix="0" xfId="0"/>
    <xf numFmtId="166" fontId="4" fillId="0" borderId="1" pivotButton="0" quotePrefix="0" xfId="0"/>
    <xf numFmtId="0" fontId="4" fillId="0" borderId="2" pivotButton="0" quotePrefix="0" xfId="0"/>
    <xf numFmtId="0" fontId="7" fillId="0" borderId="0" pivotButton="0" quotePrefix="0" xfId="0"/>
    <xf numFmtId="165" fontId="8" fillId="5" borderId="2" pivotButton="0" quotePrefix="0" xfId="0"/>
    <xf numFmtId="167" fontId="4" fillId="0" borderId="1" pivotButton="0" quotePrefix="0" xfId="0"/>
    <xf numFmtId="164" fontId="4" fillId="0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0" customWidth="1" min="3" max="3"/>
  </cols>
  <sheetData>
    <row r="1" ht="8" customHeight="1">
      <c r="A1" s="1" t="n"/>
      <c r="B1" s="1" t="n"/>
      <c r="C1" s="1" t="n"/>
      <c r="D1" s="1" t="n"/>
    </row>
    <row r="2" ht="30" customHeight="1">
      <c r="B2" s="2" t="inlineStr">
        <is>
          <t>Northwind Analytics — Five-Year Financial Model</t>
        </is>
      </c>
    </row>
    <row r="3">
      <c r="B3" s="3" t="inlineStr">
        <is>
          <t>Base case · £ · fiscal years ending 31 March</t>
        </is>
      </c>
    </row>
    <row r="5">
      <c r="B5" s="4" t="inlineStr">
        <is>
          <t>Purpose</t>
        </is>
      </c>
      <c r="C5" s="5" t="inlineStr">
        <is>
          <t>Five-year operating model and DCF valuation for FY27 planning.</t>
        </is>
      </c>
    </row>
    <row r="6">
      <c r="B6" s="4" t="inlineStr">
        <is>
          <t>How to use</t>
        </is>
      </c>
      <c r="C6" s="5" t="inlineStr">
        <is>
          <t>Change only the blue cells on the Assumptions sheet; everything else is formula-driven.</t>
        </is>
      </c>
    </row>
    <row r="7">
      <c r="B7" s="4" t="inlineStr">
        <is>
          <t>Sheets</t>
        </is>
      </c>
      <c r="C7" s="5" t="inlineStr">
        <is>
          <t>Assumptions → P&amp;L → Cash Flow → Valuation</t>
        </is>
      </c>
    </row>
    <row r="8">
      <c r="B8" s="4" t="inlineStr">
        <is>
          <t>Version</t>
        </is>
      </c>
      <c r="C8" s="5" t="inlineStr">
        <is>
          <t>v1.0 · 8 October 2026 · Finance</t>
        </is>
      </c>
    </row>
    <row r="9">
      <c r="B9" s="4" t="inlineStr">
        <is>
          <t>Inputs</t>
        </is>
      </c>
      <c r="C9" s="6" t="inlineStr">
        <is>
          <t>Blue text on cream fill</t>
        </is>
      </c>
    </row>
    <row r="10">
      <c r="B10" s="4" t="inlineStr">
        <is>
          <t>Formulas</t>
        </is>
      </c>
      <c r="C10" s="5" t="inlineStr">
        <is>
          <t>Black text</t>
        </is>
      </c>
    </row>
    <row r="11">
      <c r="B11" s="4" t="inlineStr">
        <is>
          <t>Checks</t>
        </is>
      </c>
      <c r="C11" s="5" t="inlineStr">
        <is>
          <t>Valuation!C18 must read OK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7C86"/>
    <outlinePr summaryBelow="1" summaryRight="1"/>
    <pageSetUpPr/>
  </sheetPr>
  <dimension ref="A1:H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0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B2" s="2" t="inlineStr">
        <is>
          <t>Assumptions</t>
        </is>
      </c>
    </row>
    <row r="3">
      <c r="B3" s="3" t="inlineStr">
        <is>
          <t>Blue cells are inputs. All other sheets reference this page.</t>
        </is>
      </c>
    </row>
    <row r="5" ht="22" customHeight="1">
      <c r="B5" s="7" t="inlineStr">
        <is>
          <t>Driver</t>
        </is>
      </c>
      <c r="C5" s="8" t="inlineStr">
        <is>
          <t>FY26A</t>
        </is>
      </c>
      <c r="D5" s="8" t="inlineStr">
        <is>
          <t>FY27E</t>
        </is>
      </c>
      <c r="E5" s="8" t="inlineStr">
        <is>
          <t>FY28E</t>
        </is>
      </c>
      <c r="F5" s="8" t="inlineStr">
        <is>
          <t>FY29E</t>
        </is>
      </c>
      <c r="G5" s="8" t="inlineStr">
        <is>
          <t>FY30E</t>
        </is>
      </c>
      <c r="H5" s="8" t="inlineStr">
        <is>
          <t>Note</t>
        </is>
      </c>
    </row>
    <row r="6">
      <c r="B6" s="5" t="inlineStr">
        <is>
          <t>Revenue growth</t>
        </is>
      </c>
      <c r="C6" s="5" t="n"/>
      <c r="D6" s="9" t="n">
        <v>0.21</v>
      </c>
      <c r="E6" s="9" t="n">
        <v>0.19</v>
      </c>
      <c r="F6" s="9" t="n">
        <v>0.17</v>
      </c>
      <c r="G6" s="9" t="n">
        <v>0.15</v>
      </c>
      <c r="H6" s="10" t="inlineStr">
        <is>
          <t>FY26A is actual</t>
        </is>
      </c>
    </row>
    <row r="7">
      <c r="B7" s="5" t="inlineStr">
        <is>
          <t>Gross margin</t>
        </is>
      </c>
      <c r="C7" s="9" t="n">
        <v>0.731</v>
      </c>
      <c r="D7" s="9" t="n">
        <v>0.738</v>
      </c>
      <c r="E7" s="9" t="n">
        <v>0.745</v>
      </c>
      <c r="F7" s="9" t="n">
        <v>0.75</v>
      </c>
      <c r="G7" s="9" t="n">
        <v>0.755</v>
      </c>
      <c r="H7" s="10" t="inlineStr">
        <is>
          <t>Hosting renegotiation</t>
        </is>
      </c>
    </row>
    <row r="8">
      <c r="B8" s="5" t="inlineStr">
        <is>
          <t>Sales &amp; marketing, % revenue</t>
        </is>
      </c>
      <c r="C8" s="9" t="n">
        <v>0.35</v>
      </c>
      <c r="D8" s="9" t="n">
        <v>0.34</v>
      </c>
      <c r="E8" s="9" t="n">
        <v>0.33</v>
      </c>
      <c r="F8" s="9" t="n">
        <v>0.32</v>
      </c>
      <c r="G8" s="9" t="n">
        <v>0.31</v>
      </c>
      <c r="H8" s="10" t="inlineStr"/>
    </row>
    <row r="9">
      <c r="B9" s="5" t="inlineStr">
        <is>
          <t>R&amp;D, % revenue</t>
        </is>
      </c>
      <c r="C9" s="9" t="n">
        <v>0.2</v>
      </c>
      <c r="D9" s="9" t="n">
        <v>0.2</v>
      </c>
      <c r="E9" s="9" t="n">
        <v>0.19</v>
      </c>
      <c r="F9" s="9" t="n">
        <v>0.19</v>
      </c>
      <c r="G9" s="9" t="n">
        <v>0.18</v>
      </c>
      <c r="H9" s="10" t="inlineStr"/>
    </row>
    <row r="10">
      <c r="B10" s="5" t="inlineStr">
        <is>
          <t>G&amp;A, % revenue</t>
        </is>
      </c>
      <c r="C10" s="9" t="n">
        <v>0.098</v>
      </c>
      <c r="D10" s="9" t="n">
        <v>0.094</v>
      </c>
      <c r="E10" s="9" t="n">
        <v>0.09</v>
      </c>
      <c r="F10" s="9" t="n">
        <v>0.08699999999999999</v>
      </c>
      <c r="G10" s="9" t="n">
        <v>0.08500000000000001</v>
      </c>
      <c r="H10" s="10" t="inlineStr"/>
    </row>
    <row r="11">
      <c r="B11" s="5" t="inlineStr">
        <is>
          <t>D&amp;A, % revenue</t>
        </is>
      </c>
      <c r="C11" s="9" t="n">
        <v>0.03</v>
      </c>
      <c r="D11" s="9" t="n">
        <v>0.03</v>
      </c>
      <c r="E11" s="9" t="n">
        <v>0.03</v>
      </c>
      <c r="F11" s="9" t="n">
        <v>0.03</v>
      </c>
      <c r="G11" s="9" t="n">
        <v>0.03</v>
      </c>
      <c r="H11" s="10" t="inlineStr"/>
    </row>
    <row r="12">
      <c r="B12" s="5" t="inlineStr">
        <is>
          <t>Capex, % revenue</t>
        </is>
      </c>
      <c r="C12" s="9" t="n">
        <v>0.04</v>
      </c>
      <c r="D12" s="9" t="n">
        <v>0.12</v>
      </c>
      <c r="E12" s="9" t="n">
        <v>0.05</v>
      </c>
      <c r="F12" s="9" t="n">
        <v>0.04</v>
      </c>
      <c r="G12" s="9" t="n">
        <v>0.04</v>
      </c>
      <c r="H12" s="10" t="inlineStr">
        <is>
          <t>FY27 includes APAC hub</t>
        </is>
      </c>
    </row>
    <row r="13">
      <c r="B13" s="5" t="inlineStr">
        <is>
          <t>Net working capital, % revenue</t>
        </is>
      </c>
      <c r="C13" s="9" t="n">
        <v>0.08</v>
      </c>
      <c r="D13" s="9" t="n">
        <v>0.08</v>
      </c>
      <c r="E13" s="9" t="n">
        <v>0.08</v>
      </c>
      <c r="F13" s="9" t="n">
        <v>0.08</v>
      </c>
      <c r="G13" s="9" t="n">
        <v>0.08</v>
      </c>
      <c r="H13" s="10" t="inlineStr"/>
    </row>
    <row r="14">
      <c r="B14" s="5" t="inlineStr">
        <is>
          <t>Tax rate</t>
        </is>
      </c>
      <c r="C14" s="9" t="n">
        <v>0.25</v>
      </c>
      <c r="D14" s="9" t="n">
        <v>0.25</v>
      </c>
      <c r="E14" s="9" t="n">
        <v>0.25</v>
      </c>
      <c r="F14" s="9" t="n">
        <v>0.25</v>
      </c>
      <c r="G14" s="9" t="n">
        <v>0.25</v>
      </c>
      <c r="H14" s="10" t="inlineStr">
        <is>
          <t>UK main rate</t>
        </is>
      </c>
    </row>
    <row r="16">
      <c r="B16" s="11" t="inlineStr">
        <is>
          <t>FY26 revenue (actual), £</t>
        </is>
      </c>
      <c r="C16" s="12" t="n">
        <v>40100000</v>
      </c>
    </row>
    <row r="18" ht="22" customHeight="1">
      <c r="B18" s="7" t="inlineStr">
        <is>
          <t>Valuation inputs</t>
        </is>
      </c>
      <c r="C18" s="8" t="inlineStr">
        <is>
          <t>Value</t>
        </is>
      </c>
    </row>
    <row r="19">
      <c r="B19" s="5" t="inlineStr">
        <is>
          <t>WACC</t>
        </is>
      </c>
      <c r="C19" s="9" t="n">
        <v>0.11</v>
      </c>
    </row>
    <row r="20">
      <c r="B20" s="5" t="inlineStr">
        <is>
          <t>Terminal growth</t>
        </is>
      </c>
      <c r="C20" s="9" t="n">
        <v>0.03</v>
      </c>
    </row>
    <row r="21">
      <c r="B21" s="5" t="inlineStr">
        <is>
          <t>Net cash at valuation date, £</t>
        </is>
      </c>
      <c r="C21" s="12" t="n">
        <v>6200000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/>
  </sheetPr>
  <dimension ref="A1:G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B2" s="2" t="inlineStr">
        <is>
          <t>Profit &amp; Loss</t>
        </is>
      </c>
    </row>
    <row r="3">
      <c r="B3" s="3" t="inlineStr">
        <is>
          <t>£ · all figures formula-driven from Assumptions</t>
        </is>
      </c>
    </row>
    <row r="5" ht="22" customHeight="1">
      <c r="B5" s="7" t="inlineStr">
        <is>
          <t>£</t>
        </is>
      </c>
      <c r="C5" s="8" t="inlineStr">
        <is>
          <t>FY26A</t>
        </is>
      </c>
      <c r="D5" s="8" t="inlineStr">
        <is>
          <t>FY27E</t>
        </is>
      </c>
      <c r="E5" s="8" t="inlineStr">
        <is>
          <t>FY28E</t>
        </is>
      </c>
      <c r="F5" s="8" t="inlineStr">
        <is>
          <t>FY29E</t>
        </is>
      </c>
      <c r="G5" s="8" t="inlineStr">
        <is>
          <t>FY30E</t>
        </is>
      </c>
    </row>
    <row r="6">
      <c r="B6" s="13" t="inlineStr">
        <is>
          <t>Revenue</t>
        </is>
      </c>
      <c r="C6" s="14">
        <f>Assumptions!C16</f>
        <v/>
      </c>
      <c r="D6" s="14">
        <f>C6*(1+Assumptions!D6)</f>
        <v/>
      </c>
      <c r="E6" s="14">
        <f>D6*(1+Assumptions!E6)</f>
        <v/>
      </c>
      <c r="F6" s="14">
        <f>E6*(1+Assumptions!F6)</f>
        <v/>
      </c>
      <c r="G6" s="14">
        <f>F6*(1+Assumptions!G6)</f>
        <v/>
      </c>
    </row>
    <row r="7">
      <c r="B7" s="5" t="inlineStr">
        <is>
          <t>Cost of revenue</t>
        </is>
      </c>
      <c r="C7" s="15">
        <f>-C6*(1-Assumptions!C7)</f>
        <v/>
      </c>
      <c r="D7" s="15">
        <f>-D6*(1-Assumptions!D7)</f>
        <v/>
      </c>
      <c r="E7" s="15">
        <f>-E6*(1-Assumptions!E7)</f>
        <v/>
      </c>
      <c r="F7" s="15">
        <f>-F6*(1-Assumptions!F7)</f>
        <v/>
      </c>
      <c r="G7" s="15">
        <f>-G6*(1-Assumptions!G7)</f>
        <v/>
      </c>
    </row>
    <row r="8">
      <c r="B8" s="16" t="inlineStr">
        <is>
          <t>Gross profit</t>
        </is>
      </c>
      <c r="C8" s="17">
        <f>C6+C7</f>
        <v/>
      </c>
      <c r="D8" s="17">
        <f>D6+D7</f>
        <v/>
      </c>
      <c r="E8" s="17">
        <f>E6+E7</f>
        <v/>
      </c>
      <c r="F8" s="17">
        <f>F6+F7</f>
        <v/>
      </c>
      <c r="G8" s="17">
        <f>G6+G7</f>
        <v/>
      </c>
    </row>
    <row r="9">
      <c r="B9" s="5" t="inlineStr">
        <is>
          <t>Sales &amp; marketing</t>
        </is>
      </c>
      <c r="C9" s="15">
        <f>-C6*Assumptions!C8</f>
        <v/>
      </c>
      <c r="D9" s="15">
        <f>-D6*Assumptions!D8</f>
        <v/>
      </c>
      <c r="E9" s="15">
        <f>-E6*Assumptions!E8</f>
        <v/>
      </c>
      <c r="F9" s="15">
        <f>-F6*Assumptions!F8</f>
        <v/>
      </c>
      <c r="G9" s="15">
        <f>-G6*Assumptions!G8</f>
        <v/>
      </c>
    </row>
    <row r="10">
      <c r="B10" s="5" t="inlineStr">
        <is>
          <t>Research &amp; development</t>
        </is>
      </c>
      <c r="C10" s="15">
        <f>-C6*Assumptions!C9</f>
        <v/>
      </c>
      <c r="D10" s="15">
        <f>-D6*Assumptions!D9</f>
        <v/>
      </c>
      <c r="E10" s="15">
        <f>-E6*Assumptions!E9</f>
        <v/>
      </c>
      <c r="F10" s="15">
        <f>-F6*Assumptions!F9</f>
        <v/>
      </c>
      <c r="G10" s="15">
        <f>-G6*Assumptions!G9</f>
        <v/>
      </c>
    </row>
    <row r="11">
      <c r="B11" s="5" t="inlineStr">
        <is>
          <t>General &amp; administrative</t>
        </is>
      </c>
      <c r="C11" s="15">
        <f>-C6*Assumptions!C10</f>
        <v/>
      </c>
      <c r="D11" s="15">
        <f>-D6*Assumptions!D10</f>
        <v/>
      </c>
      <c r="E11" s="15">
        <f>-E6*Assumptions!E10</f>
        <v/>
      </c>
      <c r="F11" s="15">
        <f>-F6*Assumptions!F10</f>
        <v/>
      </c>
      <c r="G11" s="15">
        <f>-G6*Assumptions!G10</f>
        <v/>
      </c>
    </row>
    <row r="12">
      <c r="B12" s="16" t="inlineStr">
        <is>
          <t>EBITDA</t>
        </is>
      </c>
      <c r="C12" s="18">
        <f>SUM(C8:C11)</f>
        <v/>
      </c>
      <c r="D12" s="18">
        <f>SUM(D8:D11)</f>
        <v/>
      </c>
      <c r="E12" s="18">
        <f>SUM(E8:E11)</f>
        <v/>
      </c>
      <c r="F12" s="18">
        <f>SUM(F8:F11)</f>
        <v/>
      </c>
      <c r="G12" s="18">
        <f>SUM(G8:G11)</f>
        <v/>
      </c>
    </row>
    <row r="13">
      <c r="B13" s="5" t="inlineStr">
        <is>
          <t>Depreciation &amp; amortisation</t>
        </is>
      </c>
      <c r="C13" s="15">
        <f>-C6*Assumptions!C11</f>
        <v/>
      </c>
      <c r="D13" s="15">
        <f>-D6*Assumptions!D11</f>
        <v/>
      </c>
      <c r="E13" s="15">
        <f>-E6*Assumptions!E11</f>
        <v/>
      </c>
      <c r="F13" s="15">
        <f>-F6*Assumptions!F11</f>
        <v/>
      </c>
      <c r="G13" s="15">
        <f>-G6*Assumptions!G11</f>
        <v/>
      </c>
    </row>
    <row r="14">
      <c r="B14" s="16" t="inlineStr">
        <is>
          <t>EBIT</t>
        </is>
      </c>
      <c r="C14" s="17">
        <f>C12+C13</f>
        <v/>
      </c>
      <c r="D14" s="17">
        <f>D12+D13</f>
        <v/>
      </c>
      <c r="E14" s="17">
        <f>E12+E13</f>
        <v/>
      </c>
      <c r="F14" s="17">
        <f>F12+F13</f>
        <v/>
      </c>
      <c r="G14" s="17">
        <f>G12+G13</f>
        <v/>
      </c>
    </row>
    <row r="15">
      <c r="B15" s="5" t="inlineStr">
        <is>
          <t>Tax</t>
        </is>
      </c>
      <c r="C15" s="15">
        <f>-MAX(0,C14)*Assumptions!C14</f>
        <v/>
      </c>
      <c r="D15" s="15">
        <f>-MAX(0,D14)*Assumptions!D14</f>
        <v/>
      </c>
      <c r="E15" s="15">
        <f>-MAX(0,E14)*Assumptions!E14</f>
        <v/>
      </c>
      <c r="F15" s="15">
        <f>-MAX(0,F14)*Assumptions!F14</f>
        <v/>
      </c>
      <c r="G15" s="15">
        <f>-MAX(0,G14)*Assumptions!G14</f>
        <v/>
      </c>
    </row>
    <row r="16">
      <c r="B16" s="16" t="inlineStr">
        <is>
          <t>Net income</t>
        </is>
      </c>
      <c r="C16" s="18">
        <f>C14+C15</f>
        <v/>
      </c>
      <c r="D16" s="18">
        <f>D14+D15</f>
        <v/>
      </c>
      <c r="E16" s="18">
        <f>E14+E15</f>
        <v/>
      </c>
      <c r="F16" s="18">
        <f>F14+F15</f>
        <v/>
      </c>
      <c r="G16" s="18">
        <f>G14+G15</f>
        <v/>
      </c>
    </row>
    <row r="18">
      <c r="B18" s="19" t="inlineStr">
        <is>
          <t>Margins</t>
        </is>
      </c>
    </row>
    <row r="19">
      <c r="B19" s="20" t="inlineStr">
        <is>
          <t>Revenue growth</t>
        </is>
      </c>
      <c r="C19" s="21" t="n"/>
      <c r="D19" s="21">
        <f>D6/C6-1</f>
        <v/>
      </c>
      <c r="E19" s="21">
        <f>E6/D6-1</f>
        <v/>
      </c>
      <c r="F19" s="21">
        <f>F6/E6-1</f>
        <v/>
      </c>
      <c r="G19" s="21">
        <f>G6/F6-1</f>
        <v/>
      </c>
    </row>
    <row r="20">
      <c r="B20" s="20" t="inlineStr">
        <is>
          <t>Gross margin</t>
        </is>
      </c>
      <c r="C20" s="21">
        <f>C8/C6</f>
        <v/>
      </c>
      <c r="D20" s="21">
        <f>D8/D6</f>
        <v/>
      </c>
      <c r="E20" s="21">
        <f>E8/E6</f>
        <v/>
      </c>
      <c r="F20" s="21">
        <f>F8/F6</f>
        <v/>
      </c>
      <c r="G20" s="21">
        <f>G8/G6</f>
        <v/>
      </c>
    </row>
    <row r="21">
      <c r="B21" s="20" t="inlineStr">
        <is>
          <t>EBITDA margin</t>
        </is>
      </c>
      <c r="C21" s="21">
        <f>C12/C6</f>
        <v/>
      </c>
      <c r="D21" s="21">
        <f>D12/D6</f>
        <v/>
      </c>
      <c r="E21" s="21">
        <f>E12/E6</f>
        <v/>
      </c>
      <c r="F21" s="21">
        <f>F12/F6</f>
        <v/>
      </c>
      <c r="G21" s="21">
        <f>G12/G6</f>
        <v/>
      </c>
    </row>
    <row r="22">
      <c r="B22" s="20" t="inlineStr">
        <is>
          <t>Net margin</t>
        </is>
      </c>
      <c r="C22" s="21">
        <f>C16/C6</f>
        <v/>
      </c>
      <c r="D22" s="21">
        <f>D16/D6</f>
        <v/>
      </c>
      <c r="E22" s="21">
        <f>E16/E6</f>
        <v/>
      </c>
      <c r="F22" s="21">
        <f>F16/F6</f>
        <v/>
      </c>
      <c r="G22" s="21">
        <f>G16/G6</f>
        <v/>
      </c>
    </row>
  </sheetData>
  <mergeCells count="2">
    <mergeCell ref="B3:G3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A5F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B2" s="2" t="inlineStr">
        <is>
          <t>Cash Flow</t>
        </is>
      </c>
    </row>
    <row r="3">
      <c r="B3" s="3" t="inlineStr">
        <is>
          <t>Unlevered free cash flow · £</t>
        </is>
      </c>
    </row>
    <row r="5" ht="22" customHeight="1">
      <c r="B5" s="7" t="inlineStr">
        <is>
          <t>£</t>
        </is>
      </c>
      <c r="C5" s="8" t="inlineStr">
        <is>
          <t>FY26A</t>
        </is>
      </c>
      <c r="D5" s="8" t="inlineStr">
        <is>
          <t>FY27E</t>
        </is>
      </c>
      <c r="E5" s="8" t="inlineStr">
        <is>
          <t>FY28E</t>
        </is>
      </c>
      <c r="F5" s="8" t="inlineStr">
        <is>
          <t>FY29E</t>
        </is>
      </c>
      <c r="G5" s="8" t="inlineStr">
        <is>
          <t>FY30E</t>
        </is>
      </c>
    </row>
    <row r="6">
      <c r="B6" s="5" t="inlineStr">
        <is>
          <t>EBITDA</t>
        </is>
      </c>
      <c r="C6" s="15">
        <f>'P&amp;L'!C12</f>
        <v/>
      </c>
      <c r="D6" s="15">
        <f>'P&amp;L'!D12</f>
        <v/>
      </c>
      <c r="E6" s="15">
        <f>'P&amp;L'!E12</f>
        <v/>
      </c>
      <c r="F6" s="15">
        <f>'P&amp;L'!F12</f>
        <v/>
      </c>
      <c r="G6" s="15">
        <f>'P&amp;L'!G12</f>
        <v/>
      </c>
    </row>
    <row r="7">
      <c r="B7" s="5" t="inlineStr">
        <is>
          <t>Tax on EBIT</t>
        </is>
      </c>
      <c r="C7" s="15">
        <f>'P&amp;L'!C15</f>
        <v/>
      </c>
      <c r="D7" s="15">
        <f>'P&amp;L'!D15</f>
        <v/>
      </c>
      <c r="E7" s="15">
        <f>'P&amp;L'!E15</f>
        <v/>
      </c>
      <c r="F7" s="15">
        <f>'P&amp;L'!F15</f>
        <v/>
      </c>
      <c r="G7" s="15">
        <f>'P&amp;L'!G15</f>
        <v/>
      </c>
    </row>
    <row r="8">
      <c r="B8" s="5" t="inlineStr">
        <is>
          <t>Capex</t>
        </is>
      </c>
      <c r="C8" s="15">
        <f>-'P&amp;L'!C6*Assumptions!C12</f>
        <v/>
      </c>
      <c r="D8" s="15">
        <f>-'P&amp;L'!D6*Assumptions!D12</f>
        <v/>
      </c>
      <c r="E8" s="15">
        <f>-'P&amp;L'!E6*Assumptions!E12</f>
        <v/>
      </c>
      <c r="F8" s="15">
        <f>-'P&amp;L'!F6*Assumptions!F12</f>
        <v/>
      </c>
      <c r="G8" s="15">
        <f>-'P&amp;L'!G6*Assumptions!G12</f>
        <v/>
      </c>
    </row>
    <row r="9">
      <c r="B9" s="5" t="inlineStr">
        <is>
          <t>Change in net working capital</t>
        </is>
      </c>
      <c r="C9" s="15">
        <f>0</f>
        <v/>
      </c>
      <c r="D9" s="15">
        <f>-('P&amp;L'!D6-'P&amp;L'!C6)*Assumptions!D13</f>
        <v/>
      </c>
      <c r="E9" s="15">
        <f>-('P&amp;L'!E6-'P&amp;L'!D6)*Assumptions!E13</f>
        <v/>
      </c>
      <c r="F9" s="15">
        <f>-('P&amp;L'!F6-'P&amp;L'!E6)*Assumptions!F13</f>
        <v/>
      </c>
      <c r="G9" s="15">
        <f>-('P&amp;L'!G6-'P&amp;L'!F6)*Assumptions!G13</f>
        <v/>
      </c>
    </row>
    <row r="10">
      <c r="B10" s="16" t="inlineStr">
        <is>
          <t>Unlevered free cash flow</t>
        </is>
      </c>
      <c r="C10" s="18">
        <f>SUM(C6:C9)</f>
        <v/>
      </c>
      <c r="D10" s="18">
        <f>SUM(D6:D9)</f>
        <v/>
      </c>
      <c r="E10" s="18">
        <f>SUM(E6:E9)</f>
        <v/>
      </c>
      <c r="F10" s="18">
        <f>SUM(F6:F9)</f>
        <v/>
      </c>
      <c r="G10" s="18">
        <f>SUM(G6:G9)</f>
        <v/>
      </c>
    </row>
    <row r="12">
      <c r="B12" s="5" t="inlineStr">
        <is>
          <t>Discount period (years)</t>
        </is>
      </c>
      <c r="C12" s="5" t="n"/>
      <c r="D12" s="22" t="n">
        <v>1</v>
      </c>
      <c r="E12" s="22" t="n">
        <v>2</v>
      </c>
      <c r="F12" s="22" t="n">
        <v>3</v>
      </c>
      <c r="G12" s="22" t="n">
        <v>4</v>
      </c>
    </row>
    <row r="13">
      <c r="B13" s="5" t="inlineStr">
        <is>
          <t>Discount factor</t>
        </is>
      </c>
      <c r="C13" s="5" t="n"/>
      <c r="D13" s="23">
        <f>1/(1+Assumptions!$C$19)^D12</f>
        <v/>
      </c>
      <c r="E13" s="23">
        <f>1/(1+Assumptions!$C$19)^E12</f>
        <v/>
      </c>
      <c r="F13" s="23">
        <f>1/(1+Assumptions!$C$19)^F12</f>
        <v/>
      </c>
      <c r="G13" s="23">
        <f>1/(1+Assumptions!$C$19)^G12</f>
        <v/>
      </c>
    </row>
    <row r="14">
      <c r="B14" s="16" t="inlineStr">
        <is>
          <t>Present value of FCF</t>
        </is>
      </c>
      <c r="C14" s="24" t="n"/>
      <c r="D14" s="17">
        <f>D10*D13</f>
        <v/>
      </c>
      <c r="E14" s="17">
        <f>E10*E13</f>
        <v/>
      </c>
      <c r="F14" s="17">
        <f>F10*F13</f>
        <v/>
      </c>
      <c r="G14" s="17">
        <f>G10*G13</f>
        <v/>
      </c>
    </row>
  </sheetData>
  <mergeCells count="2">
    <mergeCell ref="B3:G3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A5F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4" customWidth="1" min="4" max="4"/>
    <col width="40" customWidth="1" min="5" max="5"/>
  </cols>
  <sheetData>
    <row r="1" ht="8" customHeight="1">
      <c r="A1" s="1" t="n"/>
      <c r="B1" s="1" t="n"/>
      <c r="C1" s="1" t="n"/>
      <c r="D1" s="1" t="n"/>
      <c r="E1" s="1" t="n"/>
    </row>
    <row r="2" ht="30" customHeight="1">
      <c r="B2" s="2" t="inlineStr">
        <is>
          <t>DCF Valuation</t>
        </is>
      </c>
    </row>
    <row r="3">
      <c r="B3" s="3" t="inlineStr">
        <is>
          <t>Enterprise and equity value · £</t>
        </is>
      </c>
    </row>
    <row r="5" ht="22" customHeight="1">
      <c r="B5" s="7" t="inlineStr">
        <is>
          <t>Item</t>
        </is>
      </c>
      <c r="C5" s="8" t="inlineStr">
        <is>
          <t>Value</t>
        </is>
      </c>
    </row>
    <row r="6">
      <c r="B6" s="5" t="inlineStr">
        <is>
          <t>Sum of PV of FCF (FY27–FY30)</t>
        </is>
      </c>
      <c r="C6" s="15">
        <f>SUM('Cash Flow'!D14:G14)</f>
        <v/>
      </c>
      <c r="E6" s="25" t="inlineStr">
        <is>
          <t>Sensitivity and scenario tabs can be added beside this sheet.</t>
        </is>
      </c>
    </row>
    <row r="7">
      <c r="B7" s="5" t="inlineStr">
        <is>
          <t>Terminal-year FCF × (1 + g)</t>
        </is>
      </c>
      <c r="C7" s="15">
        <f>'Cash Flow'!G10*(1+Assumptions!C20)</f>
        <v/>
      </c>
    </row>
    <row r="8">
      <c r="B8" s="5" t="inlineStr">
        <is>
          <t>Terminal value</t>
        </is>
      </c>
      <c r="C8" s="15">
        <f>C7/(Assumptions!C19-Assumptions!C20)</f>
        <v/>
      </c>
    </row>
    <row r="9">
      <c r="B9" s="5" t="inlineStr">
        <is>
          <t>PV of terminal value</t>
        </is>
      </c>
      <c r="C9" s="15">
        <f>C8*'Cash Flow'!G13</f>
        <v/>
      </c>
    </row>
    <row r="10">
      <c r="B10" s="16" t="inlineStr">
        <is>
          <t>Enterprise value</t>
        </is>
      </c>
      <c r="C10" s="26">
        <f>C6+C9</f>
        <v/>
      </c>
    </row>
    <row r="11">
      <c r="B11" s="5" t="inlineStr">
        <is>
          <t>Net cash</t>
        </is>
      </c>
      <c r="C11" s="15">
        <f>Assumptions!C21</f>
        <v/>
      </c>
    </row>
    <row r="12">
      <c r="B12" s="16" t="inlineStr">
        <is>
          <t>Equity value</t>
        </is>
      </c>
      <c r="C12" s="26">
        <f>C10+C11</f>
        <v/>
      </c>
    </row>
    <row r="14">
      <c r="B14" s="5" t="inlineStr">
        <is>
          <t>EV / FY27E revenue</t>
        </is>
      </c>
      <c r="C14" s="27">
        <f>C10/'P&amp;L'!D6</f>
        <v/>
      </c>
    </row>
    <row r="15">
      <c r="B15" s="5" t="inlineStr">
        <is>
          <t>EV / FY27E EBITDA</t>
        </is>
      </c>
      <c r="C15" s="27">
        <f>C10/'P&amp;L'!D12</f>
        <v/>
      </c>
    </row>
    <row r="16">
      <c r="B16" s="5" t="inlineStr">
        <is>
          <t>Terminal value share of EV</t>
        </is>
      </c>
      <c r="C16" s="28">
        <f>C9/C10</f>
        <v/>
      </c>
    </row>
    <row r="18">
      <c r="B18" s="29" t="inlineStr">
        <is>
          <t>Check: WACC &gt; terminal growth</t>
        </is>
      </c>
      <c r="C18" s="30">
        <f>IF(Assumptions!C19&gt;Assumptions!C20,"OK","ERROR")</f>
        <v/>
      </c>
    </row>
  </sheetData>
  <mergeCells count="2"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Northwind Analytics</dc:creator>
  <dcterms:created xmlns:dcterms="http://purl.org/dc/terms/" xmlns:xsi="http://www.w3.org/2001/XMLSchema-instance" xsi:type="dcterms:W3CDTF">2026-10-09T12:17:01Z</dcterms:created>
  <dcterms:modified xmlns:dcterms="http://purl.org/dc/terms/" xmlns:xsi="http://www.w3.org/2001/XMLSchema-instance" xsi:type="dcterms:W3CDTF">2026-10-09T12:17:01Z</dcterms:modified>
</cp:coreProperties>
</file>