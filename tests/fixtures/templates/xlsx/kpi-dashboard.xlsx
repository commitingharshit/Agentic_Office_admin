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;[Red]-£#,##0;&quot;–&quot;"/>
    <numFmt numFmtId="165" formatCode="#,##0;[Red]-#,##0;&quot;–&quot;"/>
    <numFmt numFmtId="166" formatCode="0.0%;[Red]-0.0%;&quot;–&quot;"/>
    <numFmt numFmtId="167" formatCode="+0.0%;-0.0%;0.0%"/>
    <numFmt numFmtId="168" formatCode="+0.0&quot; pts&quot;;-0.0&quot; pts&quot;;0.0&quot; pts&quot;"/>
    <numFmt numFmtId="169" formatCode="+0;-0;0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color rgb="005B6B7B"/>
      <sz val="10"/>
    </font>
    <font>
      <name val="Arial"/>
      <b val="1"/>
      <color rgb="00FFFFFF"/>
      <sz val="10"/>
    </font>
    <font>
      <name val="Arial"/>
      <color rgb="001B2A3A"/>
      <sz val="11"/>
    </font>
    <font>
      <name val="Arial"/>
      <color rgb="001F4E9E"/>
      <sz val="11"/>
    </font>
    <font>
      <name val="Arial"/>
      <b val="1"/>
      <color rgb="005B6B7B"/>
      <sz val="9"/>
    </font>
    <font>
      <name val="Arial"/>
      <b val="1"/>
      <color rgb="001E7B4F"/>
      <sz val="11"/>
    </font>
    <font>
      <name val="Arial"/>
      <color rgb="005B6B7B"/>
      <sz val="9"/>
    </font>
    <font>
      <name val="Arial"/>
      <b val="1"/>
      <color rgb="001F3A5F"/>
      <sz val="12"/>
    </font>
    <font>
      <name val="Arial"/>
      <b val="1"/>
      <color rgb="001B2A3A"/>
      <sz val="11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3F8"/>
        <bgColor rgb="00EEF3F8"/>
      </patternFill>
    </fill>
  </fills>
  <borders count="2">
    <border>
      <left/>
      <right/>
      <top/>
      <bottom/>
      <diagonal/>
    </border>
    <border>
      <bottom style="thin">
        <color rgb="00C9D2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6" fillId="3" borderId="0" pivotButton="0" quotePrefix="0" xfId="0"/>
    <xf numFmtId="164" fontId="1" fillId="3" borderId="0" applyAlignment="1" pivotButton="0" quotePrefix="0" xfId="0">
      <alignment horizontal="left" vertical="center"/>
    </xf>
    <xf numFmtId="165" fontId="1" fillId="3" borderId="0" applyAlignment="1" pivotButton="0" quotePrefix="0" xfId="0">
      <alignment horizontal="left" vertical="center"/>
    </xf>
    <xf numFmtId="166" fontId="1" fillId="3" borderId="0" applyAlignment="1" pivotButton="0" quotePrefix="0" xfId="0">
      <alignment horizontal="left" vertical="center"/>
    </xf>
    <xf numFmtId="167" fontId="7" fillId="3" borderId="0" applyAlignment="1" pivotButton="0" quotePrefix="0" xfId="0">
      <alignment horizontal="left" vertical="center"/>
    </xf>
    <xf numFmtId="168" fontId="7" fillId="3" borderId="0" applyAlignment="1" pivotButton="0" quotePrefix="0" xfId="0">
      <alignment horizontal="left" vertical="center"/>
    </xf>
    <xf numFmtId="169" fontId="7" fillId="3" borderId="0" applyAlignment="1" pivotButton="0" quotePrefix="0" xfId="0">
      <alignment horizontal="left" vertical="center"/>
    </xf>
    <xf numFmtId="0" fontId="8" fillId="3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10" fillId="0" borderId="1" applyAlignment="1" pivotButton="0" quotePrefix="0" xfId="0">
      <alignment horizontal="right" vertical="center"/>
    </xf>
    <xf numFmtId="166" fontId="5" fillId="0" borderId="1" pivotButton="0" quotePrefix="0" xfId="0"/>
    <xf numFmtId="166" fontId="4" fillId="0" borderId="1" pivotButton="0" quotePrefix="0" xfId="0"/>
    <xf numFmtId="165" fontId="5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B42318"/>
      </font>
    </dxf>
    <dxf>
      <font>
        <b val="1"/>
        <color rgb="001E7B4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MRR, last 12 months (£)</a:t>
            </a:r>
          </a:p>
        </rich>
      </tx>
    </title>
    <plotArea>
      <lineChart>
        <grouping val="standard"/>
        <ser>
          <idx val="0"/>
          <order val="0"/>
          <tx>
            <strRef>
              <f>'Data'!C5</f>
            </strRef>
          </tx>
          <spPr>
            <a:ln xmlns:a="http://schemas.openxmlformats.org/drawingml/2006/main" w="28000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'Data'!$B$6:$B$17</f>
            </numRef>
          </cat>
          <val>
            <numRef>
              <f>'Data'!$C$6:$C$17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New customers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'Data'!D5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prstDash val="solid"/>
            </a:ln>
          </spPr>
          <cat>
            <numRef>
              <f>'Data'!$B$6:$B$17</f>
            </numRef>
          </cat>
          <val>
            <numRef>
              <f>'Data'!$D$6:$D$17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9</row>
      <rowOff>0</rowOff>
    </from>
    <to>
      <col>6</col>
      <colOff>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9</row>
      <rowOff>0</rowOff>
    </from>
    <to>
      <col>12</col>
      <colOff>0</colOff>
      <row>25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2" t="inlineStr">
        <is>
          <t>SaaS KPI Dashboard</t>
        </is>
      </c>
    </row>
    <row r="3">
      <c r="B3" s="3" t="inlineStr">
        <is>
          <t>Oct 2025 – Sep 2026 · latest month vs prior month · source: Data sheet</t>
        </is>
      </c>
    </row>
    <row r="5">
      <c r="B5" s="4" t="inlineStr">
        <is>
          <t>MRR</t>
        </is>
      </c>
      <c r="E5" s="4" t="inlineStr">
        <is>
          <t>NEW CUSTOMERS</t>
        </is>
      </c>
      <c r="H5" s="4" t="inlineStr">
        <is>
          <t>MONTHLY CHURN</t>
        </is>
      </c>
      <c r="K5" s="4" t="inlineStr">
        <is>
          <t>NPS</t>
        </is>
      </c>
    </row>
    <row r="6" ht="32" customHeight="1">
      <c r="B6" s="5">
        <f>Data!C17</f>
        <v/>
      </c>
      <c r="E6" s="6">
        <f>Data!D17</f>
        <v/>
      </c>
      <c r="H6" s="7">
        <f>Data!E17</f>
        <v/>
      </c>
      <c r="K6" s="6">
        <f>Data!F17</f>
        <v/>
      </c>
    </row>
    <row r="7">
      <c r="B7" s="8">
        <f>Data!C17/Data!C16-1</f>
        <v/>
      </c>
      <c r="E7" s="8">
        <f>Data!D17/Data!D16-1</f>
        <v/>
      </c>
      <c r="H7" s="9">
        <f>(Data!E17-Data!E16)*100</f>
        <v/>
      </c>
      <c r="K7" s="10">
        <f>Data!F17-Data!F16</f>
        <v/>
      </c>
    </row>
    <row r="8">
      <c r="B8" s="11" t="inlineStr">
        <is>
          <t>vs prior month</t>
        </is>
      </c>
      <c r="E8" s="11" t="inlineStr">
        <is>
          <t>vs prior month</t>
        </is>
      </c>
      <c r="H8" s="11" t="inlineStr">
        <is>
          <t>vs prior month</t>
        </is>
      </c>
      <c r="K8" s="11" t="inlineStr">
        <is>
          <t>vs prior month</t>
        </is>
      </c>
    </row>
    <row r="27">
      <c r="B27" s="12" t="inlineStr">
        <is>
          <t>Targets</t>
        </is>
      </c>
    </row>
    <row r="28" ht="22" customHeight="1">
      <c r="B28" s="13" t="inlineStr">
        <is>
          <t>Metric</t>
        </is>
      </c>
      <c r="C28" s="14" t="inlineStr">
        <is>
          <t>Target</t>
        </is>
      </c>
      <c r="D28" s="14" t="inlineStr"/>
      <c r="E28" s="14" t="inlineStr">
        <is>
          <t>Latest</t>
        </is>
      </c>
      <c r="F28" s="14" t="inlineStr">
        <is>
          <t>Status</t>
        </is>
      </c>
    </row>
    <row r="29">
      <c r="B29" s="15" t="inlineStr">
        <is>
          <t>MRR (£)</t>
        </is>
      </c>
      <c r="C29" s="16" t="n">
        <v>3200000</v>
      </c>
      <c r="D29" s="15" t="n"/>
      <c r="E29" s="17">
        <f>Data!C17</f>
        <v/>
      </c>
      <c r="F29" s="18">
        <f>IF(E29&gt;=C29,"On target","Below target")</f>
        <v/>
      </c>
    </row>
    <row r="30">
      <c r="B30" s="15" t="inlineStr">
        <is>
          <t>Monthly churn</t>
        </is>
      </c>
      <c r="C30" s="19" t="n">
        <v>0.015</v>
      </c>
      <c r="D30" s="15" t="n"/>
      <c r="E30" s="20">
        <f>Data!E17</f>
        <v/>
      </c>
      <c r="F30" s="18">
        <f>IF(E30&lt;=C30,"On target","Below target")</f>
        <v/>
      </c>
    </row>
    <row r="31">
      <c r="B31" s="15" t="inlineStr">
        <is>
          <t>NPS</t>
        </is>
      </c>
      <c r="C31" s="21" t="n">
        <v>50</v>
      </c>
      <c r="D31" s="15" t="n"/>
      <c r="E31" s="22">
        <f>Data!F17</f>
        <v/>
      </c>
      <c r="F31" s="18">
        <f>IF(E31&gt;=C31,"On target","Below target")</f>
        <v/>
      </c>
    </row>
    <row r="32">
      <c r="B32" s="15" t="inlineStr">
        <is>
          <t>CAC (£)</t>
        </is>
      </c>
      <c r="C32" s="16" t="n">
        <v>3600</v>
      </c>
      <c r="D32" s="15" t="n"/>
      <c r="E32" s="17">
        <f>Data!G17</f>
        <v/>
      </c>
      <c r="F32" s="18">
        <f>IF(E32&lt;=C32,"On target","Below target")</f>
        <v/>
      </c>
    </row>
  </sheetData>
  <mergeCells count="18">
    <mergeCell ref="B6:C6"/>
    <mergeCell ref="K7:L7"/>
    <mergeCell ref="E6:F6"/>
    <mergeCell ref="H6:I6"/>
    <mergeCell ref="B7:C7"/>
    <mergeCell ref="E7:F7"/>
    <mergeCell ref="K8:L8"/>
    <mergeCell ref="B5:C5"/>
    <mergeCell ref="H7:I7"/>
    <mergeCell ref="B3:L3"/>
    <mergeCell ref="B2:L2"/>
    <mergeCell ref="E5:F5"/>
    <mergeCell ref="K5:L5"/>
    <mergeCell ref="H5:I5"/>
    <mergeCell ref="H8:I8"/>
    <mergeCell ref="K6:L6"/>
    <mergeCell ref="B8:C8"/>
    <mergeCell ref="E8:F8"/>
  </mergeCells>
  <conditionalFormatting sqref="B7">
    <cfRule type="cellIs" priority="1" operator="lessThan" dxfId="0">
      <formula>0</formula>
    </cfRule>
  </conditionalFormatting>
  <conditionalFormatting sqref="E7">
    <cfRule type="cellIs" priority="2" operator="lessThan" dxfId="0">
      <formula>0</formula>
    </cfRule>
  </conditionalFormatting>
  <conditionalFormatting sqref="H7">
    <cfRule type="cellIs" priority="3" operator="greaterThan" dxfId="0">
      <formula>0</formula>
    </cfRule>
  </conditionalFormatting>
  <conditionalFormatting sqref="K7">
    <cfRule type="cellIs" priority="4" operator="lessThan" dxfId="0">
      <formula>0</formula>
    </cfRule>
  </conditionalFormatting>
  <conditionalFormatting sqref="F29:F32">
    <cfRule type="cellIs" priority="5" operator="equal" dxfId="1">
      <formula>"On target"</formula>
    </cfRule>
    <cfRule type="cellIs" priority="6" operator="equal" dxfId="0">
      <formula>"Below target"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5" customWidth="1" min="3" max="3"/>
    <col width="17" customWidth="1" min="4" max="4"/>
    <col width="12" customWidth="1" min="5" max="5"/>
    <col width="10" customWidth="1" min="6" max="6"/>
    <col width="12" customWidth="1" min="7" max="7"/>
    <col width="13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B2" s="2" t="inlineStr">
        <is>
          <t>Monthly KPI data</t>
        </is>
      </c>
    </row>
    <row r="3">
      <c r="B3" s="3" t="inlineStr">
        <is>
          <t>Oct 2025 – Sep 2026 · append one row per month; the dashboard reads the latest row</t>
        </is>
      </c>
    </row>
    <row r="5" ht="22" customHeight="1">
      <c r="B5" s="13" t="inlineStr">
        <is>
          <t>Month</t>
        </is>
      </c>
      <c r="C5" s="14" t="inlineStr">
        <is>
          <t>MRR (£)</t>
        </is>
      </c>
      <c r="D5" s="14" t="inlineStr">
        <is>
          <t>New customers</t>
        </is>
      </c>
      <c r="E5" s="14" t="inlineStr">
        <is>
          <t>Churn %</t>
        </is>
      </c>
      <c r="F5" s="14" t="inlineStr">
        <is>
          <t>NPS</t>
        </is>
      </c>
      <c r="G5" s="14" t="inlineStr">
        <is>
          <t>CAC (£)</t>
        </is>
      </c>
      <c r="H5" s="14" t="inlineStr">
        <is>
          <t>Customers</t>
        </is>
      </c>
    </row>
    <row r="6">
      <c r="B6" s="15" t="inlineStr">
        <is>
          <t>Oct</t>
        </is>
      </c>
      <c r="C6" s="16" t="n">
        <v>2410000</v>
      </c>
      <c r="D6" s="21" t="n">
        <v>38</v>
      </c>
      <c r="E6" s="19" t="n">
        <v>0.021</v>
      </c>
      <c r="F6" s="21" t="n">
        <v>41</v>
      </c>
      <c r="G6" s="16" t="n">
        <v>4120</v>
      </c>
      <c r="H6" s="22" t="n">
        <v>1180</v>
      </c>
    </row>
    <row r="7">
      <c r="B7" s="15" t="inlineStr">
        <is>
          <t>Nov</t>
        </is>
      </c>
      <c r="C7" s="16" t="n">
        <v>2486000</v>
      </c>
      <c r="D7" s="21" t="n">
        <v>41</v>
      </c>
      <c r="E7" s="19" t="n">
        <v>0.019</v>
      </c>
      <c r="F7" s="21" t="n">
        <v>42</v>
      </c>
      <c r="G7" s="16" t="n">
        <v>4050</v>
      </c>
      <c r="H7" s="22">
        <f>ROUND(H6*(1-E7)+D7,0)</f>
        <v/>
      </c>
    </row>
    <row r="8">
      <c r="B8" s="15" t="inlineStr">
        <is>
          <t>Dec</t>
        </is>
      </c>
      <c r="C8" s="16" t="n">
        <v>2540000</v>
      </c>
      <c r="D8" s="21" t="n">
        <v>33</v>
      </c>
      <c r="E8" s="19" t="n">
        <v>0.024</v>
      </c>
      <c r="F8" s="21" t="n">
        <v>40</v>
      </c>
      <c r="G8" s="16" t="n">
        <v>4380</v>
      </c>
      <c r="H8" s="22">
        <f>ROUND(H7*(1-E8)+D8,0)</f>
        <v/>
      </c>
    </row>
    <row r="9">
      <c r="B9" s="15" t="inlineStr">
        <is>
          <t>Jan</t>
        </is>
      </c>
      <c r="C9" s="16" t="n">
        <v>2611000</v>
      </c>
      <c r="D9" s="21" t="n">
        <v>46</v>
      </c>
      <c r="E9" s="19" t="n">
        <v>0.018</v>
      </c>
      <c r="F9" s="21" t="n">
        <v>44</v>
      </c>
      <c r="G9" s="16" t="n">
        <v>3990</v>
      </c>
      <c r="H9" s="22">
        <f>ROUND(H8*(1-E9)+D9,0)</f>
        <v/>
      </c>
    </row>
    <row r="10">
      <c r="B10" s="15" t="inlineStr">
        <is>
          <t>Feb</t>
        </is>
      </c>
      <c r="C10" s="16" t="n">
        <v>2702000</v>
      </c>
      <c r="D10" s="21" t="n">
        <v>52</v>
      </c>
      <c r="E10" s="19" t="n">
        <v>0.017</v>
      </c>
      <c r="F10" s="21" t="n">
        <v>45</v>
      </c>
      <c r="G10" s="16" t="n">
        <v>3870</v>
      </c>
      <c r="H10" s="22">
        <f>ROUND(H9*(1-E10)+D10,0)</f>
        <v/>
      </c>
    </row>
    <row r="11">
      <c r="B11" s="15" t="inlineStr">
        <is>
          <t>Mar</t>
        </is>
      </c>
      <c r="C11" s="16" t="n">
        <v>2795000</v>
      </c>
      <c r="D11" s="21" t="n">
        <v>49</v>
      </c>
      <c r="E11" s="19" t="n">
        <v>0.02</v>
      </c>
      <c r="F11" s="21" t="n">
        <v>44</v>
      </c>
      <c r="G11" s="16" t="n">
        <v>3920</v>
      </c>
      <c r="H11" s="22">
        <f>ROUND(H10*(1-E11)+D11,0)</f>
        <v/>
      </c>
    </row>
    <row r="12">
      <c r="B12" s="15" t="inlineStr">
        <is>
          <t>Apr</t>
        </is>
      </c>
      <c r="C12" s="16" t="n">
        <v>2858000</v>
      </c>
      <c r="D12" s="21" t="n">
        <v>44</v>
      </c>
      <c r="E12" s="19" t="n">
        <v>0.016</v>
      </c>
      <c r="F12" s="21" t="n">
        <v>47</v>
      </c>
      <c r="G12" s="16" t="n">
        <v>3840</v>
      </c>
      <c r="H12" s="22">
        <f>ROUND(H11*(1-E12)+D12,0)</f>
        <v/>
      </c>
    </row>
    <row r="13">
      <c r="B13" s="15" t="inlineStr">
        <is>
          <t>May</t>
        </is>
      </c>
      <c r="C13" s="16" t="n">
        <v>2949000</v>
      </c>
      <c r="D13" s="21" t="n">
        <v>55</v>
      </c>
      <c r="E13" s="19" t="n">
        <v>0.015</v>
      </c>
      <c r="F13" s="21" t="n">
        <v>48</v>
      </c>
      <c r="G13" s="16" t="n">
        <v>3760</v>
      </c>
      <c r="H13" s="22">
        <f>ROUND(H12*(1-E13)+D13,0)</f>
        <v/>
      </c>
    </row>
    <row r="14">
      <c r="B14" s="15" t="inlineStr">
        <is>
          <t>Jun</t>
        </is>
      </c>
      <c r="C14" s="16" t="n">
        <v>3031000</v>
      </c>
      <c r="D14" s="21" t="n">
        <v>58</v>
      </c>
      <c r="E14" s="19" t="n">
        <v>0.017</v>
      </c>
      <c r="F14" s="21" t="n">
        <v>47</v>
      </c>
      <c r="G14" s="16" t="n">
        <v>3710</v>
      </c>
      <c r="H14" s="22">
        <f>ROUND(H13*(1-E14)+D14,0)</f>
        <v/>
      </c>
    </row>
    <row r="15">
      <c r="B15" s="15" t="inlineStr">
        <is>
          <t>Jul</t>
        </is>
      </c>
      <c r="C15" s="16" t="n">
        <v>3104000</v>
      </c>
      <c r="D15" s="21" t="n">
        <v>51</v>
      </c>
      <c r="E15" s="19" t="n">
        <v>0.014</v>
      </c>
      <c r="F15" s="21" t="n">
        <v>49</v>
      </c>
      <c r="G15" s="16" t="n">
        <v>3790</v>
      </c>
      <c r="H15" s="22">
        <f>ROUND(H14*(1-E15)+D15,0)</f>
        <v/>
      </c>
    </row>
    <row r="16">
      <c r="B16" s="15" t="inlineStr">
        <is>
          <t>Aug</t>
        </is>
      </c>
      <c r="C16" s="16" t="n">
        <v>3196000</v>
      </c>
      <c r="D16" s="21" t="n">
        <v>60</v>
      </c>
      <c r="E16" s="19" t="n">
        <v>0.015</v>
      </c>
      <c r="F16" s="21" t="n">
        <v>51</v>
      </c>
      <c r="G16" s="16" t="n">
        <v>3650</v>
      </c>
      <c r="H16" s="22">
        <f>ROUND(H15*(1-E16)+D16,0)</f>
        <v/>
      </c>
    </row>
    <row r="17">
      <c r="B17" s="15" t="inlineStr">
        <is>
          <t>Sep</t>
        </is>
      </c>
      <c r="C17" s="16" t="n">
        <v>3282000</v>
      </c>
      <c r="D17" s="21" t="n">
        <v>63</v>
      </c>
      <c r="E17" s="19" t="n">
        <v>0.013</v>
      </c>
      <c r="F17" s="21" t="n">
        <v>52</v>
      </c>
      <c r="G17" s="16" t="n">
        <v>3580</v>
      </c>
      <c r="H17" s="22">
        <f>ROUND(H16*(1-E17)+D17,0)</f>
        <v/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Northwind Analytics</dc:creator>
  <dcterms:created xmlns:dcterms="http://purl.org/dc/terms/" xmlns:xsi="http://www.w3.org/2001/XMLSchema-instance" xsi:type="dcterms:W3CDTF">2026-10-09T12:17:01Z</dcterms:created>
  <dcterms:modified xmlns:dcterms="http://purl.org/dc/terms/" xmlns:xsi="http://www.w3.org/2001/XMLSchema-instance" xsi:type="dcterms:W3CDTF">2026-10-09T12:17:01Z</dcterms:modified>
</cp:coreProperties>
</file>