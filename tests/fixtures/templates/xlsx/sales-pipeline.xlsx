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t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£#,##0;[Red]-£#,##0;&quot;–&quot;"/>
    <numFmt numFmtId="165" formatCode="yyyy-mm-dd"/>
    <numFmt numFmtId="166" formatCode="d mmm yyyy"/>
    <numFmt numFmtId="167" formatCode="#,##0;[Red]-#,##0;&quot;–&quot;"/>
    <numFmt numFmtId="168" formatCode="0.0%;[Red]-0.0%;&quot;–&quot;"/>
  </numFmts>
  <fonts count="10">
    <font>
      <name val="Calibri"/>
      <family val="2"/>
      <color theme="1"/>
      <sz val="11"/>
      <scheme val="minor"/>
    </font>
    <font>
      <name val="Arial"/>
      <b val="1"/>
      <color rgb="001F3A5F"/>
      <sz val="20"/>
    </font>
    <font>
      <name val="Arial"/>
      <color rgb="005B6B7B"/>
      <sz val="10"/>
    </font>
    <font>
      <name val="Arial"/>
      <b val="1"/>
      <color rgb="00FFFFFF"/>
      <sz val="10"/>
    </font>
    <font>
      <name val="Arial"/>
      <color rgb="001B2A3A"/>
      <sz val="11"/>
    </font>
    <font>
      <name val="Arial"/>
      <color rgb="001F4E9E"/>
      <sz val="11"/>
    </font>
    <font>
      <name val="Arial"/>
      <color rgb="005B6B7B"/>
      <sz val="11"/>
    </font>
    <font>
      <name val="Arial"/>
      <b val="1"/>
      <color rgb="005B6B7B"/>
      <sz val="9"/>
    </font>
    <font>
      <name val="Arial"/>
      <color rgb="005B6B7B"/>
      <sz val="9"/>
    </font>
    <font>
      <name val="Arial"/>
      <b val="1"/>
      <color rgb="001B2A3A"/>
      <sz val="11"/>
    </font>
  </fonts>
  <fills count="4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EEF3F8"/>
        <bgColor rgb="00EEF3F8"/>
      </patternFill>
    </fill>
  </fills>
  <borders count="3">
    <border>
      <left/>
      <right/>
      <top/>
      <bottom/>
      <diagonal/>
    </border>
    <border>
      <bottom style="thin">
        <color rgb="00C9D2DC"/>
      </bottom>
    </border>
    <border>
      <top style="medium">
        <color rgb="001F3A5F"/>
      </top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right" vertical="center" wrapText="1"/>
    </xf>
    <xf numFmtId="0" fontId="4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9" fontId="4" fillId="0" borderId="0" pivotButton="0" quotePrefix="0" xfId="0"/>
    <xf numFmtId="164" fontId="4" fillId="0" borderId="0" pivotButton="0" quotePrefix="0" xfId="0"/>
    <xf numFmtId="166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164" fontId="1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8" fillId="3" borderId="0" pivotButton="0" quotePrefix="0" xfId="0"/>
    <xf numFmtId="0" fontId="4" fillId="0" borderId="1" pivotButton="0" quotePrefix="0" xfId="0"/>
    <xf numFmtId="167" fontId="4" fillId="0" borderId="1" pivotButton="0" quotePrefix="0" xfId="0"/>
    <xf numFmtId="164" fontId="4" fillId="0" borderId="1" pivotButton="0" quotePrefix="0" xfId="0"/>
    <xf numFmtId="168" fontId="4" fillId="0" borderId="1" pivotButton="0" quotePrefix="0" xfId="0"/>
    <xf numFmtId="0" fontId="9" fillId="3" borderId="2" pivotButton="0" quotePrefix="0" xfId="0"/>
    <xf numFmtId="167" fontId="9" fillId="3" borderId="2" pivotButton="0" quotePrefix="0" xfId="0"/>
    <xf numFmtId="164" fontId="9" fillId="3" borderId="2" pivotButton="0" quotePrefix="0" xfId="0"/>
    <xf numFmtId="168" fontId="9" fillId="3" borderId="2" pivotButton="0" quotePrefix="0" xfId="0"/>
    <xf numFmtId="9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Pipeline by stage (£)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'Summary'!D9</f>
            </strRef>
          </tx>
          <spPr>
            <a:solidFill xmlns:a="http://schemas.openxmlformats.org/drawingml/2006/main">
              <a:srgbClr val="B8C4D2"/>
            </a:solidFill>
            <a:ln xmlns:a="http://schemas.openxmlformats.org/drawingml/2006/main">
              <a:prstDash val="solid"/>
            </a:ln>
          </spPr>
          <cat>
            <numRef>
              <f>'Summary'!$B$10:$B$13</f>
            </numRef>
          </cat>
          <val>
            <numRef>
              <f>'Summary'!$D$10:$D$13</f>
            </numRef>
          </val>
        </ser>
        <ser>
          <idx val="1"/>
          <order val="1"/>
          <tx>
            <strRef>
              <f>'Summary'!E9</f>
            </strRef>
          </tx>
          <spPr>
            <a:solidFill xmlns:a="http://schemas.openxmlformats.org/drawingml/2006/main">
              <a:srgbClr val="0E7C86"/>
            </a:solidFill>
            <a:ln xmlns:a="http://schemas.openxmlformats.org/drawingml/2006/main">
              <a:prstDash val="solid"/>
            </a:ln>
          </spPr>
          <cat>
            <numRef>
              <f>'Summary'!$B$10:$B$13</f>
            </numRef>
          </cat>
          <val>
            <numRef>
              <f>'Summary'!$E$10:$E$13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1</col>
      <colOff>0</colOff>
      <row>17</row>
      <rowOff>0</rowOff>
    </from>
    <to>
      <col>7</col>
      <colOff>0</colOff>
      <row>34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Pipeline" displayName="Pipeline" ref="B5:J17" headerRowCount="1">
  <autoFilter ref="B5:J17"/>
  <tableColumns count="9">
    <tableColumn id="2" name="Opportunity"/>
    <tableColumn id="3" name="Account"/>
    <tableColumn id="4" name="Owner"/>
    <tableColumn id="5" name="Stage"/>
    <tableColumn id="6" name="Amount (£)"/>
    <tableColumn id="7" name="Probability"/>
    <tableColumn id="8" name="Weighted (£)"/>
    <tableColumn id="9" name="Close date"/>
    <tableColumn id="10" name="Next step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3A5F"/>
    <outlinePr summaryBelow="1" summaryRight="1"/>
    <pageSetUpPr/>
  </sheetPr>
  <dimension ref="A1:J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4" customWidth="1" min="2" max="2"/>
    <col width="20" customWidth="1" min="3" max="3"/>
    <col width="12" customWidth="1" min="4" max="4"/>
    <col width="14" customWidth="1" min="5" max="5"/>
    <col width="14" customWidth="1" min="6" max="6"/>
    <col width="12" customWidth="1" min="7" max="7"/>
    <col width="14" customWidth="1" min="8" max="8"/>
    <col width="15" customWidth="1" min="9" max="9"/>
    <col width="34" customWidth="1" min="10" max="10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30" customHeight="1">
      <c r="B2" s="2" t="inlineStr">
        <is>
          <t>Sales Pipeline — Q4 FY26</t>
        </is>
      </c>
    </row>
    <row r="3">
      <c r="B3" s="3" t="inlineStr">
        <is>
          <t>One row per open opportunity · probability and weighted value are calculated</t>
        </is>
      </c>
    </row>
    <row r="5" ht="22" customHeight="1">
      <c r="B5" s="4" t="inlineStr">
        <is>
          <t>Opportunity</t>
        </is>
      </c>
      <c r="C5" s="4" t="inlineStr">
        <is>
          <t>Account</t>
        </is>
      </c>
      <c r="D5" s="4" t="inlineStr">
        <is>
          <t>Owner</t>
        </is>
      </c>
      <c r="E5" s="4" t="inlineStr">
        <is>
          <t>Stage</t>
        </is>
      </c>
      <c r="F5" s="5" t="inlineStr">
        <is>
          <t>Amount (£)</t>
        </is>
      </c>
      <c r="G5" s="5" t="inlineStr">
        <is>
          <t>Probability</t>
        </is>
      </c>
      <c r="H5" s="5" t="inlineStr">
        <is>
          <t>Weighted (£)</t>
        </is>
      </c>
      <c r="I5" s="5" t="inlineStr">
        <is>
          <t>Close date</t>
        </is>
      </c>
      <c r="J5" s="6" t="inlineStr">
        <is>
          <t>Next step</t>
        </is>
      </c>
    </row>
    <row r="6">
      <c r="B6" s="7" t="inlineStr">
        <is>
          <t>Data platform renewal + expansion</t>
        </is>
      </c>
      <c r="C6" s="7" t="inlineStr">
        <is>
          <t>Fenwick Foods</t>
        </is>
      </c>
      <c r="D6" s="7" t="inlineStr">
        <is>
          <t>A. Shah</t>
        </is>
      </c>
      <c r="E6" s="8" t="inlineStr">
        <is>
          <t>Negotiation</t>
        </is>
      </c>
      <c r="F6" s="9" t="n">
        <v>184000</v>
      </c>
      <c r="G6" s="10">
        <f>IFERROR(VLOOKUP(E6,Stages!$B$6:$C$11,2,FALSE),0)</f>
        <v/>
      </c>
      <c r="H6" s="11">
        <f>F6*G6</f>
        <v/>
      </c>
      <c r="I6" s="12" t="n">
        <v>46340</v>
      </c>
      <c r="J6" s="13" t="inlineStr">
        <is>
          <t>Legal redlines back by 21 Oct</t>
        </is>
      </c>
    </row>
    <row r="7">
      <c r="B7" s="7" t="inlineStr">
        <is>
          <t>Self-serve analytics rollout</t>
        </is>
      </c>
      <c r="C7" s="7" t="inlineStr">
        <is>
          <t>Brightwater Health</t>
        </is>
      </c>
      <c r="D7" s="7" t="inlineStr">
        <is>
          <t>J. Moss</t>
        </is>
      </c>
      <c r="E7" s="8" t="inlineStr">
        <is>
          <t>Proposal</t>
        </is>
      </c>
      <c r="F7" s="9" t="n">
        <v>96000</v>
      </c>
      <c r="G7" s="10">
        <f>IFERROR(VLOOKUP(E7,Stages!$B$6:$C$11,2,FALSE),0)</f>
        <v/>
      </c>
      <c r="H7" s="11">
        <f>F7*G7</f>
        <v/>
      </c>
      <c r="I7" s="12" t="n">
        <v>46361</v>
      </c>
      <c r="J7" s="13" t="inlineStr">
        <is>
          <t>Pricing call with CFO</t>
        </is>
      </c>
    </row>
    <row r="8">
      <c r="B8" s="7" t="inlineStr">
        <is>
          <t>APAC pilot</t>
        </is>
      </c>
      <c r="C8" s="7" t="inlineStr">
        <is>
          <t>Kinetic Freight</t>
        </is>
      </c>
      <c r="D8" s="7" t="inlineStr">
        <is>
          <t>L. Wong</t>
        </is>
      </c>
      <c r="E8" s="8" t="inlineStr">
        <is>
          <t>Discovery</t>
        </is>
      </c>
      <c r="F8" s="9" t="n">
        <v>72000</v>
      </c>
      <c r="G8" s="10">
        <f>IFERROR(VLOOKUP(E8,Stages!$B$6:$C$11,2,FALSE),0)</f>
        <v/>
      </c>
      <c r="H8" s="11">
        <f>F8*G8</f>
        <v/>
      </c>
      <c r="I8" s="12" t="n">
        <v>46417</v>
      </c>
      <c r="J8" s="13" t="inlineStr">
        <is>
          <t>Technical deep-dive</t>
        </is>
      </c>
    </row>
    <row r="9">
      <c r="B9" s="7" t="inlineStr">
        <is>
          <t>Retail media measurement</t>
        </is>
      </c>
      <c r="C9" s="7" t="inlineStr">
        <is>
          <t>Larkspur Retail</t>
        </is>
      </c>
      <c r="D9" s="7" t="inlineStr">
        <is>
          <t>A. Shah</t>
        </is>
      </c>
      <c r="E9" s="8" t="inlineStr">
        <is>
          <t>Proposal</t>
        </is>
      </c>
      <c r="F9" s="9" t="n">
        <v>138000</v>
      </c>
      <c r="G9" s="10">
        <f>IFERROR(VLOOKUP(E9,Stages!$B$6:$C$11,2,FALSE),0)</f>
        <v/>
      </c>
      <c r="H9" s="11">
        <f>F9*G9</f>
        <v/>
      </c>
      <c r="I9" s="12" t="n">
        <v>46368</v>
      </c>
      <c r="J9" s="13" t="inlineStr">
        <is>
          <t>Security questionnaire</t>
        </is>
      </c>
    </row>
    <row r="10">
      <c r="B10" s="7" t="inlineStr">
        <is>
          <t>Enterprise SSO upgrade</t>
        </is>
      </c>
      <c r="C10" s="7" t="inlineStr">
        <is>
          <t>Orion Insurance</t>
        </is>
      </c>
      <c r="D10" s="7" t="inlineStr">
        <is>
          <t>M. Dubois</t>
        </is>
      </c>
      <c r="E10" s="8" t="inlineStr">
        <is>
          <t>Negotiation</t>
        </is>
      </c>
      <c r="F10" s="9" t="n">
        <v>54000</v>
      </c>
      <c r="G10" s="10">
        <f>IFERROR(VLOOKUP(E10,Stages!$B$6:$C$11,2,FALSE),0)</f>
        <v/>
      </c>
      <c r="H10" s="11">
        <f>F10*G10</f>
        <v/>
      </c>
      <c r="I10" s="12" t="n">
        <v>46326</v>
      </c>
      <c r="J10" s="13" t="inlineStr">
        <is>
          <t>Order form out for signature</t>
        </is>
      </c>
    </row>
    <row r="11">
      <c r="B11" s="7" t="inlineStr">
        <is>
          <t>Embedded dashboards</t>
        </is>
      </c>
      <c r="C11" s="7" t="inlineStr">
        <is>
          <t>Quill Software</t>
        </is>
      </c>
      <c r="D11" s="7" t="inlineStr">
        <is>
          <t>J. Moss</t>
        </is>
      </c>
      <c r="E11" s="8" t="inlineStr">
        <is>
          <t>Prospect</t>
        </is>
      </c>
      <c r="F11" s="9" t="n">
        <v>45000</v>
      </c>
      <c r="G11" s="10">
        <f>IFERROR(VLOOKUP(E11,Stages!$B$6:$C$11,2,FALSE),0)</f>
        <v/>
      </c>
      <c r="H11" s="11">
        <f>F11*G11</f>
        <v/>
      </c>
      <c r="I11" s="12" t="n">
        <v>46445</v>
      </c>
      <c r="J11" s="13" t="inlineStr">
        <is>
          <t>Intro meeting booked</t>
        </is>
      </c>
    </row>
    <row r="12">
      <c r="B12" s="7" t="inlineStr">
        <is>
          <t>Warehouse analytics</t>
        </is>
      </c>
      <c r="C12" s="7" t="inlineStr">
        <is>
          <t>Halcyon Robotics</t>
        </is>
      </c>
      <c r="D12" s="7" t="inlineStr">
        <is>
          <t>L. Wong</t>
        </is>
      </c>
      <c r="E12" s="8" t="inlineStr">
        <is>
          <t>Discovery</t>
        </is>
      </c>
      <c r="F12" s="9" t="n">
        <v>88000</v>
      </c>
      <c r="G12" s="10">
        <f>IFERROR(VLOOKUP(E12,Stages!$B$6:$C$11,2,FALSE),0)</f>
        <v/>
      </c>
      <c r="H12" s="11">
        <f>F12*G12</f>
        <v/>
      </c>
      <c r="I12" s="12" t="n">
        <v>46403</v>
      </c>
      <c r="J12" s="13" t="inlineStr">
        <is>
          <t>Map data sources</t>
        </is>
      </c>
    </row>
    <row r="13">
      <c r="B13" s="7" t="inlineStr">
        <is>
          <t>Data quality add-on</t>
        </is>
      </c>
      <c r="C13" s="7" t="inlineStr">
        <is>
          <t>Fenwick Foods</t>
        </is>
      </c>
      <c r="D13" s="7" t="inlineStr">
        <is>
          <t>A. Shah</t>
        </is>
      </c>
      <c r="E13" s="8" t="inlineStr">
        <is>
          <t>Closed won</t>
        </is>
      </c>
      <c r="F13" s="9" t="n">
        <v>36000</v>
      </c>
      <c r="G13" s="10">
        <f>IFERROR(VLOOKUP(E13,Stages!$B$6:$C$11,2,FALSE),0)</f>
        <v/>
      </c>
      <c r="H13" s="11">
        <f>F13*G13</f>
        <v/>
      </c>
      <c r="I13" s="12" t="n">
        <v>46291</v>
      </c>
      <c r="J13" s="13" t="inlineStr">
        <is>
          <t>Kick-off scheduled</t>
        </is>
      </c>
    </row>
    <row r="14">
      <c r="B14" s="7" t="inlineStr">
        <is>
          <t>Group-wide licence</t>
        </is>
      </c>
      <c r="C14" s="7" t="inlineStr">
        <is>
          <t>Meridian Hotels</t>
        </is>
      </c>
      <c r="D14" s="7" t="inlineStr">
        <is>
          <t>M. Dubois</t>
        </is>
      </c>
      <c r="E14" s="8" t="inlineStr">
        <is>
          <t>Proposal</t>
        </is>
      </c>
      <c r="F14" s="9" t="n">
        <v>210000</v>
      </c>
      <c r="G14" s="10">
        <f>IFERROR(VLOOKUP(E14,Stages!$B$6:$C$11,2,FALSE),0)</f>
        <v/>
      </c>
      <c r="H14" s="11">
        <f>F14*G14</f>
        <v/>
      </c>
      <c r="I14" s="12" t="n">
        <v>46375</v>
      </c>
      <c r="J14" s="13" t="inlineStr">
        <is>
          <t>Exec sponsor meeting</t>
        </is>
      </c>
    </row>
    <row r="15">
      <c r="B15" s="7" t="inlineStr">
        <is>
          <t>Marketing mix model</t>
        </is>
      </c>
      <c r="C15" s="7" t="inlineStr">
        <is>
          <t>Copperleaf Beauty</t>
        </is>
      </c>
      <c r="D15" s="7" t="inlineStr">
        <is>
          <t>J. Moss</t>
        </is>
      </c>
      <c r="E15" s="8" t="inlineStr">
        <is>
          <t>Closed lost</t>
        </is>
      </c>
      <c r="F15" s="9" t="n">
        <v>42000</v>
      </c>
      <c r="G15" s="10">
        <f>IFERROR(VLOOKUP(E15,Stages!$B$6:$C$11,2,FALSE),0)</f>
        <v/>
      </c>
      <c r="H15" s="11">
        <f>F15*G15</f>
        <v/>
      </c>
      <c r="I15" s="12" t="n">
        <v>46277</v>
      </c>
      <c r="J15" s="13" t="inlineStr">
        <is>
          <t>Lost to in-house build</t>
        </is>
      </c>
    </row>
    <row r="16">
      <c r="B16" s="7" t="inlineStr">
        <is>
          <t>Usage-based alerts</t>
        </is>
      </c>
      <c r="C16" s="7" t="inlineStr">
        <is>
          <t>Saffron Telecom</t>
        </is>
      </c>
      <c r="D16" s="7" t="inlineStr">
        <is>
          <t>L. Wong</t>
        </is>
      </c>
      <c r="E16" s="8" t="inlineStr">
        <is>
          <t>Prospect</t>
        </is>
      </c>
      <c r="F16" s="9" t="n">
        <v>28000</v>
      </c>
      <c r="G16" s="10">
        <f>IFERROR(VLOOKUP(E16,Stages!$B$6:$C$11,2,FALSE),0)</f>
        <v/>
      </c>
      <c r="H16" s="11">
        <f>F16*G16</f>
        <v/>
      </c>
      <c r="I16" s="12" t="n">
        <v>46459</v>
      </c>
      <c r="J16" s="13" t="inlineStr">
        <is>
          <t>Qualify budget</t>
        </is>
      </c>
    </row>
    <row r="17">
      <c r="B17" s="7" t="inlineStr">
        <is>
          <t>Finance analytics pack</t>
        </is>
      </c>
      <c r="C17" s="7" t="inlineStr">
        <is>
          <t>Northgate Council</t>
        </is>
      </c>
      <c r="D17" s="7" t="inlineStr">
        <is>
          <t>M. Dubois</t>
        </is>
      </c>
      <c r="E17" s="8" t="inlineStr">
        <is>
          <t>Discovery</t>
        </is>
      </c>
      <c r="F17" s="9" t="n">
        <v>64000</v>
      </c>
      <c r="G17" s="10">
        <f>IFERROR(VLOOKUP(E17,Stages!$B$6:$C$11,2,FALSE),0)</f>
        <v/>
      </c>
      <c r="H17" s="11">
        <f>F17*G17</f>
        <v/>
      </c>
      <c r="I17" s="12" t="n">
        <v>46424</v>
      </c>
      <c r="J17" s="13" t="inlineStr">
        <is>
          <t>Procurement framework check</t>
        </is>
      </c>
    </row>
  </sheetData>
  <mergeCells count="2">
    <mergeCell ref="B3:J3"/>
    <mergeCell ref="B2:J2"/>
  </mergeCells>
  <dataValidations count="1">
    <dataValidation sqref="E6:E17" showDropDown="0" showInputMessage="0" showErrorMessage="0" allowBlank="0" type="list">
      <formula1>=Stages!$B$6:$B$11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0E7C86"/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0" customWidth="1" min="3" max="3"/>
    <col width="16" customWidth="1" min="4" max="4"/>
    <col width="16" customWidth="1" min="5" max="5"/>
    <col width="14" customWidth="1" min="6" max="6"/>
  </cols>
  <sheetData>
    <row r="1" ht="8" customHeight="1">
      <c r="A1" s="1" t="n"/>
      <c r="B1" s="1" t="n"/>
      <c r="C1" s="1" t="n"/>
      <c r="D1" s="1" t="n"/>
      <c r="E1" s="1" t="n"/>
      <c r="F1" s="1" t="n"/>
    </row>
    <row r="2" ht="30" customHeight="1">
      <c r="B2" s="2" t="inlineStr">
        <is>
          <t>Pipeline summary</t>
        </is>
      </c>
    </row>
    <row r="3">
      <c r="B3" s="3" t="inlineStr">
        <is>
          <t>By stage · updates automatically from Pipeline</t>
        </is>
      </c>
    </row>
    <row r="5">
      <c r="B5" s="14" t="inlineStr">
        <is>
          <t>OPEN PIPELINE</t>
        </is>
      </c>
      <c r="D5" s="14" t="inlineStr">
        <is>
          <t>WEIGHTED</t>
        </is>
      </c>
      <c r="E5" s="14" t="inlineStr">
        <is>
          <t>WON THIS QUARTER</t>
        </is>
      </c>
    </row>
    <row r="6" ht="32" customHeight="1">
      <c r="B6" s="15">
        <f>SUMIFS(Pipeline!F6:F17,Pipeline!E6:E17,"&lt;&gt;Closed won",Pipeline!E6:E17,"&lt;&gt;Closed lost")</f>
        <v/>
      </c>
      <c r="D6" s="15">
        <f>SUMIFS(Pipeline!H6:H17,Pipeline!E6:E17,"&lt;&gt;Closed won")</f>
        <v/>
      </c>
      <c r="E6" s="15">
        <f>SUMIF(Pipeline!E6:E17,"Closed won",Pipeline!F6:F17)</f>
        <v/>
      </c>
    </row>
    <row r="7">
      <c r="B7" s="16" t="n"/>
      <c r="D7" s="16" t="n"/>
      <c r="E7" s="16" t="n"/>
    </row>
    <row r="8">
      <c r="B8" s="17" t="inlineStr">
        <is>
          <t>Prospect to negotiation</t>
        </is>
      </c>
      <c r="D8" s="17" t="inlineStr">
        <is>
          <t>Amount × stage probability</t>
        </is>
      </c>
      <c r="E8" s="17" t="inlineStr">
        <is>
          <t>Signed in Q4 FY26</t>
        </is>
      </c>
    </row>
    <row r="9" ht="22" customHeight="1">
      <c r="B9" s="4" t="inlineStr">
        <is>
          <t>Stage</t>
        </is>
      </c>
      <c r="C9" s="6" t="inlineStr">
        <is>
          <t>Deals</t>
        </is>
      </c>
      <c r="D9" s="6" t="inlineStr">
        <is>
          <t>Amount (£)</t>
        </is>
      </c>
      <c r="E9" s="6" t="inlineStr">
        <is>
          <t>Weighted (£)</t>
        </is>
      </c>
      <c r="F9" s="6" t="inlineStr">
        <is>
          <t>Share</t>
        </is>
      </c>
    </row>
    <row r="10">
      <c r="B10" s="18" t="inlineStr">
        <is>
          <t>Prospect</t>
        </is>
      </c>
      <c r="C10" s="19">
        <f>COUNTIF(Pipeline!$E$6:$E$17,B10)</f>
        <v/>
      </c>
      <c r="D10" s="20">
        <f>SUMIF(Pipeline!$E$6:$E$17,B10,Pipeline!$F$6:$F$17)</f>
        <v/>
      </c>
      <c r="E10" s="20">
        <f>SUMIF(Pipeline!$E$6:$E$17,B10,Pipeline!$H$6:$H$17)</f>
        <v/>
      </c>
      <c r="F10" s="21">
        <f>IFERROR(D10/$D$16,0)</f>
        <v/>
      </c>
    </row>
    <row r="11">
      <c r="B11" s="18" t="inlineStr">
        <is>
          <t>Discovery</t>
        </is>
      </c>
      <c r="C11" s="19">
        <f>COUNTIF(Pipeline!$E$6:$E$17,B11)</f>
        <v/>
      </c>
      <c r="D11" s="20">
        <f>SUMIF(Pipeline!$E$6:$E$17,B11,Pipeline!$F$6:$F$17)</f>
        <v/>
      </c>
      <c r="E11" s="20">
        <f>SUMIF(Pipeline!$E$6:$E$17,B11,Pipeline!$H$6:$H$17)</f>
        <v/>
      </c>
      <c r="F11" s="21">
        <f>IFERROR(D11/$D$16,0)</f>
        <v/>
      </c>
    </row>
    <row r="12">
      <c r="B12" s="18" t="inlineStr">
        <is>
          <t>Proposal</t>
        </is>
      </c>
      <c r="C12" s="19">
        <f>COUNTIF(Pipeline!$E$6:$E$17,B12)</f>
        <v/>
      </c>
      <c r="D12" s="20">
        <f>SUMIF(Pipeline!$E$6:$E$17,B12,Pipeline!$F$6:$F$17)</f>
        <v/>
      </c>
      <c r="E12" s="20">
        <f>SUMIF(Pipeline!$E$6:$E$17,B12,Pipeline!$H$6:$H$17)</f>
        <v/>
      </c>
      <c r="F12" s="21">
        <f>IFERROR(D12/$D$16,0)</f>
        <v/>
      </c>
    </row>
    <row r="13">
      <c r="B13" s="18" t="inlineStr">
        <is>
          <t>Negotiation</t>
        </is>
      </c>
      <c r="C13" s="19">
        <f>COUNTIF(Pipeline!$E$6:$E$17,B13)</f>
        <v/>
      </c>
      <c r="D13" s="20">
        <f>SUMIF(Pipeline!$E$6:$E$17,B13,Pipeline!$F$6:$F$17)</f>
        <v/>
      </c>
      <c r="E13" s="20">
        <f>SUMIF(Pipeline!$E$6:$E$17,B13,Pipeline!$H$6:$H$17)</f>
        <v/>
      </c>
      <c r="F13" s="21">
        <f>IFERROR(D13/$D$16,0)</f>
        <v/>
      </c>
    </row>
    <row r="14">
      <c r="B14" s="18" t="inlineStr">
        <is>
          <t>Closed won</t>
        </is>
      </c>
      <c r="C14" s="19">
        <f>COUNTIF(Pipeline!$E$6:$E$17,B14)</f>
        <v/>
      </c>
      <c r="D14" s="20">
        <f>SUMIF(Pipeline!$E$6:$E$17,B14,Pipeline!$F$6:$F$17)</f>
        <v/>
      </c>
      <c r="E14" s="20">
        <f>SUMIF(Pipeline!$E$6:$E$17,B14,Pipeline!$H$6:$H$17)</f>
        <v/>
      </c>
      <c r="F14" s="21">
        <f>IFERROR(D14/$D$16,0)</f>
        <v/>
      </c>
    </row>
    <row r="15">
      <c r="B15" s="18" t="inlineStr">
        <is>
          <t>Closed lost</t>
        </is>
      </c>
      <c r="C15" s="19">
        <f>COUNTIF(Pipeline!$E$6:$E$17,B15)</f>
        <v/>
      </c>
      <c r="D15" s="20">
        <f>SUMIF(Pipeline!$E$6:$E$17,B15,Pipeline!$F$6:$F$17)</f>
        <v/>
      </c>
      <c r="E15" s="20">
        <f>SUMIF(Pipeline!$E$6:$E$17,B15,Pipeline!$H$6:$H$17)</f>
        <v/>
      </c>
      <c r="F15" s="21">
        <f>IFERROR(D15/$D$16,0)</f>
        <v/>
      </c>
    </row>
    <row r="16">
      <c r="B16" s="22" t="inlineStr">
        <is>
          <t>Total</t>
        </is>
      </c>
      <c r="C16" s="23">
        <f>SUM(C10:C15)</f>
        <v/>
      </c>
      <c r="D16" s="24">
        <f>SUM(D10:D15)</f>
        <v/>
      </c>
      <c r="E16" s="24">
        <f>SUM(E10:E15)</f>
        <v/>
      </c>
      <c r="F16" s="25">
        <f>SUM(F10:F15)</f>
        <v/>
      </c>
    </row>
  </sheetData>
  <mergeCells count="14">
    <mergeCell ref="B6:C6"/>
    <mergeCell ref="E6:F6"/>
    <mergeCell ref="B7:C7"/>
    <mergeCell ref="B2:F2"/>
    <mergeCell ref="E7:F7"/>
    <mergeCell ref="B5:C5"/>
    <mergeCell ref="D7"/>
    <mergeCell ref="B3:F3"/>
    <mergeCell ref="D6"/>
    <mergeCell ref="D8"/>
    <mergeCell ref="E5:F5"/>
    <mergeCell ref="E8:F8"/>
    <mergeCell ref="B8:C8"/>
    <mergeCell ref="D5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5B6B7B"/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4" customWidth="1" min="3" max="3"/>
    <col width="40" customWidth="1" min="4" max="4"/>
  </cols>
  <sheetData>
    <row r="1" ht="8" customHeight="1">
      <c r="A1" s="1" t="n"/>
      <c r="B1" s="1" t="n"/>
      <c r="C1" s="1" t="n"/>
      <c r="D1" s="1" t="n"/>
    </row>
    <row r="2" ht="30" customHeight="1">
      <c r="B2" s="2" t="inlineStr">
        <is>
          <t>Stage definitions</t>
        </is>
      </c>
    </row>
    <row r="3">
      <c r="B3" s="3" t="inlineStr">
        <is>
          <t>Probabilities drive weighted pipeline</t>
        </is>
      </c>
    </row>
    <row r="5" ht="22" customHeight="1">
      <c r="B5" s="4" t="inlineStr">
        <is>
          <t>Stage</t>
        </is>
      </c>
      <c r="C5" s="6" t="inlineStr">
        <is>
          <t>Probability</t>
        </is>
      </c>
      <c r="D5" s="6" t="inlineStr">
        <is>
          <t>Exit criteria</t>
        </is>
      </c>
    </row>
    <row r="6">
      <c r="B6" s="18" t="inlineStr">
        <is>
          <t>Prospect</t>
        </is>
      </c>
      <c r="C6" s="26" t="n">
        <v>0.1</v>
      </c>
      <c r="D6" s="27" t="inlineStr">
        <is>
          <t>Qualified need, no meeting yet</t>
        </is>
      </c>
    </row>
    <row r="7">
      <c r="B7" s="18" t="inlineStr">
        <is>
          <t>Discovery</t>
        </is>
      </c>
      <c r="C7" s="26" t="n">
        <v>0.2</v>
      </c>
      <c r="D7" s="27" t="inlineStr">
        <is>
          <t>Discovery call held; pain confirmed</t>
        </is>
      </c>
    </row>
    <row r="8">
      <c r="B8" s="18" t="inlineStr">
        <is>
          <t>Proposal</t>
        </is>
      </c>
      <c r="C8" s="26" t="n">
        <v>0.4</v>
      </c>
      <c r="D8" s="27" t="inlineStr">
        <is>
          <t>Proposal sent with pricing</t>
        </is>
      </c>
    </row>
    <row r="9">
      <c r="B9" s="18" t="inlineStr">
        <is>
          <t>Negotiation</t>
        </is>
      </c>
      <c r="C9" s="26" t="n">
        <v>0.7</v>
      </c>
      <c r="D9" s="27" t="inlineStr">
        <is>
          <t>Terms under negotiation</t>
        </is>
      </c>
    </row>
    <row r="10">
      <c r="B10" s="18" t="inlineStr">
        <is>
          <t>Closed won</t>
        </is>
      </c>
      <c r="C10" s="26" t="n">
        <v>1</v>
      </c>
      <c r="D10" s="27" t="inlineStr">
        <is>
          <t>Contract signed</t>
        </is>
      </c>
    </row>
    <row r="11">
      <c r="B11" s="18" t="inlineStr">
        <is>
          <t>Closed lost</t>
        </is>
      </c>
      <c r="C11" s="26" t="n">
        <v>0</v>
      </c>
      <c r="D11" s="27" t="inlineStr">
        <is>
          <t>Lost or no decision</t>
        </is>
      </c>
    </row>
  </sheetData>
  <mergeCells count="2">
    <mergeCell ref="B3:D3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Northwind Analytics</dc:creator>
  <dcterms:created xmlns:dcterms="http://purl.org/dc/terms/" xmlns:xsi="http://www.w3.org/2001/XMLSchema-instance" xsi:type="dcterms:W3CDTF">2026-10-09T12:17:01Z</dcterms:created>
  <dcterms:modified xmlns:dcterms="http://purl.org/dc/terms/" xmlns:xsi="http://www.w3.org/2001/XMLSchema-instance" xsi:type="dcterms:W3CDTF">2026-10-09T12:17:01Z</dcterms:modified>
</cp:coreProperties>
</file>